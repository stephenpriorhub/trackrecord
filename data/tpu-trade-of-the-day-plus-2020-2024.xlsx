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4westit-my.sharepoint.com/personal/jmead_oxfordclub_com/Documents/excel sheets/"/>
    </mc:Choice>
  </mc:AlternateContent>
  <xr:revisionPtr revIDLastSave="10" documentId="8_{597DC8B9-D1FF-4E84-8778-6202FAB8FC9E}" xr6:coauthVersionLast="47" xr6:coauthVersionMax="47" xr10:uidLastSave="{14D2C27C-2A95-41D7-8171-5084AC0A6C48}"/>
  <bookViews>
    <workbookView xWindow="-28920" yWindow="-3900" windowWidth="29040" windowHeight="15720" xr2:uid="{3C758F09-51C5-4D0E-9697-5E488621893C}"/>
  </bookViews>
  <sheets>
    <sheet name="stats" sheetId="3" r:id="rId1"/>
    <sheet name="closed since inception" sheetId="1" r:id="rId2"/>
    <sheet name="closed 2023" sheetId="2" r:id="rId3"/>
    <sheet name="YTD" sheetId="5" r:id="rId4"/>
    <sheet name="trade consolidation" sheetId="4" r:id="rId5"/>
  </sheets>
  <definedNames>
    <definedName name="_xlnm._FilterDatabase" localSheetId="2" hidden="1">'closed 2023'!$A$1:$M$23</definedName>
    <definedName name="_xlnm._FilterDatabase" localSheetId="1" hidden="1">'closed since inception'!$A$1:$M$150</definedName>
    <definedName name="_xlnm._FilterDatabase" localSheetId="3" hidden="1">YTD!$A$1:$M$10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2" l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1" i="5"/>
  <c r="I12" i="5"/>
  <c r="I13" i="5"/>
  <c r="I14" i="5"/>
  <c r="I15" i="5"/>
  <c r="I16" i="5"/>
  <c r="I17" i="5"/>
  <c r="I18" i="5"/>
  <c r="H12" i="5"/>
  <c r="H13" i="5"/>
  <c r="H14" i="5"/>
  <c r="H15" i="5"/>
  <c r="H16" i="5"/>
  <c r="H17" i="5"/>
  <c r="H18" i="5"/>
  <c r="H3" i="5"/>
  <c r="H4" i="5"/>
  <c r="H5" i="5"/>
  <c r="H6" i="5"/>
  <c r="H7" i="5"/>
  <c r="H8" i="5"/>
  <c r="H9" i="5"/>
  <c r="H10" i="5"/>
  <c r="H11" i="5"/>
  <c r="B13" i="3"/>
  <c r="H36" i="3"/>
  <c r="H37" i="3"/>
  <c r="H38" i="3"/>
  <c r="H35" i="3"/>
  <c r="I9" i="5"/>
  <c r="I5" i="5"/>
  <c r="I4" i="5"/>
  <c r="I2" i="5"/>
  <c r="H2" i="5"/>
  <c r="I8" i="5"/>
  <c r="I7" i="5"/>
  <c r="I10" i="5"/>
  <c r="I3" i="5"/>
  <c r="H136" i="1"/>
  <c r="H137" i="1"/>
  <c r="H134" i="1"/>
  <c r="H139" i="1"/>
  <c r="H140" i="1"/>
  <c r="H138" i="1"/>
  <c r="H141" i="1"/>
  <c r="H128" i="1"/>
  <c r="H129" i="1"/>
  <c r="H130" i="1"/>
  <c r="H131" i="1"/>
  <c r="H132" i="1"/>
  <c r="H133" i="1"/>
  <c r="H125" i="1"/>
  <c r="H126" i="1"/>
  <c r="H127" i="1"/>
  <c r="H123" i="1"/>
  <c r="H124" i="1"/>
  <c r="H122" i="1"/>
  <c r="H121" i="1"/>
  <c r="H120" i="1"/>
  <c r="H119" i="1"/>
  <c r="H117" i="1"/>
  <c r="H118" i="1"/>
  <c r="H114" i="1"/>
  <c r="H115" i="1"/>
  <c r="H116" i="1"/>
  <c r="H113" i="1"/>
  <c r="H112" i="1"/>
  <c r="H111" i="1"/>
  <c r="H110" i="1"/>
  <c r="H109" i="1"/>
  <c r="H107" i="1"/>
  <c r="H108" i="1"/>
  <c r="H106" i="1"/>
  <c r="H104" i="1"/>
  <c r="H105" i="1"/>
  <c r="H102" i="1"/>
  <c r="H103" i="1"/>
  <c r="H101" i="1"/>
  <c r="H100" i="1"/>
  <c r="H99" i="1"/>
  <c r="H98" i="1"/>
  <c r="H97" i="1"/>
  <c r="H96" i="1"/>
  <c r="H95" i="1"/>
  <c r="H94" i="1"/>
  <c r="H92" i="1"/>
  <c r="H93" i="1"/>
  <c r="H91" i="1"/>
  <c r="H90" i="1"/>
  <c r="H89" i="1"/>
  <c r="H88" i="1"/>
  <c r="H87" i="1"/>
  <c r="H86" i="1"/>
  <c r="H85" i="1"/>
  <c r="H84" i="1"/>
  <c r="H83" i="1"/>
  <c r="H82" i="1"/>
  <c r="H81" i="1"/>
  <c r="H78" i="1"/>
  <c r="H79" i="1"/>
  <c r="H80" i="1"/>
  <c r="H77" i="1"/>
  <c r="H76" i="1"/>
  <c r="H75" i="1"/>
  <c r="H74" i="1"/>
  <c r="H73" i="1"/>
  <c r="H72" i="1"/>
  <c r="H71" i="1"/>
  <c r="H70" i="1"/>
  <c r="H69" i="1"/>
  <c r="H66" i="1"/>
  <c r="H67" i="1"/>
  <c r="H68" i="1"/>
  <c r="H65" i="1"/>
  <c r="H64" i="1"/>
  <c r="H63" i="1"/>
  <c r="H61" i="1"/>
  <c r="H62" i="1"/>
  <c r="H59" i="1"/>
  <c r="H60" i="1"/>
  <c r="H58" i="1"/>
  <c r="H57" i="1"/>
  <c r="H56" i="1"/>
  <c r="H55" i="1"/>
  <c r="H54" i="1"/>
  <c r="H53" i="1"/>
  <c r="H52" i="1"/>
  <c r="H51" i="1"/>
  <c r="H50" i="1"/>
  <c r="H49" i="1"/>
  <c r="H48" i="1"/>
  <c r="H44" i="1"/>
  <c r="H45" i="1"/>
  <c r="H46" i="1"/>
  <c r="H47" i="1"/>
  <c r="H43" i="1"/>
  <c r="H42" i="1"/>
  <c r="H41" i="1"/>
  <c r="H40" i="1"/>
  <c r="H38" i="1"/>
  <c r="H39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H6" i="1"/>
  <c r="H4" i="1"/>
  <c r="H3" i="1"/>
  <c r="H2" i="1"/>
  <c r="H142" i="1"/>
  <c r="I142" i="1"/>
  <c r="H30" i="3"/>
  <c r="B4" i="3"/>
  <c r="B3" i="3"/>
  <c r="I136" i="1"/>
  <c r="I137" i="1"/>
  <c r="I138" i="1"/>
  <c r="I139" i="1"/>
  <c r="I140" i="1"/>
  <c r="I141" i="1"/>
  <c r="H135" i="1"/>
  <c r="I135" i="1"/>
  <c r="H21" i="3"/>
  <c r="B2" i="3"/>
  <c r="H39" i="2"/>
  <c r="H42" i="2"/>
  <c r="H43" i="2"/>
  <c r="H44" i="2"/>
  <c r="H45" i="2"/>
  <c r="H46" i="2"/>
  <c r="H47" i="2"/>
  <c r="H40" i="2"/>
  <c r="H41" i="2"/>
  <c r="I21" i="2"/>
  <c r="H21" i="2"/>
  <c r="H13" i="2"/>
  <c r="H26" i="2"/>
  <c r="H14" i="2"/>
  <c r="H11" i="2"/>
  <c r="H3" i="4"/>
  <c r="I2" i="4"/>
  <c r="I1" i="4"/>
  <c r="H3" i="2"/>
  <c r="H4" i="2"/>
  <c r="H5" i="2"/>
  <c r="H6" i="2"/>
  <c r="H7" i="2"/>
  <c r="H8" i="2"/>
  <c r="H9" i="2"/>
  <c r="H10" i="2"/>
  <c r="H12" i="2"/>
  <c r="H15" i="2"/>
  <c r="H16" i="2"/>
  <c r="H17" i="2"/>
  <c r="H18" i="2"/>
  <c r="H19" i="2"/>
  <c r="H20" i="2"/>
  <c r="H22" i="2"/>
  <c r="H23" i="2"/>
  <c r="H24" i="2"/>
  <c r="H28" i="2"/>
  <c r="H35" i="2"/>
  <c r="H30" i="2"/>
  <c r="H37" i="2"/>
  <c r="H27" i="2"/>
  <c r="H31" i="2"/>
  <c r="H32" i="2"/>
  <c r="H36" i="2"/>
  <c r="H38" i="2"/>
  <c r="H25" i="2"/>
  <c r="H33" i="2"/>
  <c r="H29" i="2"/>
  <c r="I24" i="2"/>
  <c r="I23" i="2"/>
  <c r="I22" i="2"/>
  <c r="I110" i="1"/>
  <c r="I109" i="1"/>
  <c r="I107" i="1"/>
  <c r="I108" i="1"/>
  <c r="B11" i="3" l="1"/>
  <c r="B12" i="3"/>
  <c r="B14" i="3"/>
  <c r="B16" i="3"/>
  <c r="B15" i="3"/>
  <c r="B6" i="3"/>
  <c r="B7" i="3"/>
  <c r="B5" i="3"/>
  <c r="H2" i="2"/>
</calcChain>
</file>

<file path=xl/sharedStrings.xml><?xml version="1.0" encoding="utf-8"?>
<sst xmlns="http://schemas.openxmlformats.org/spreadsheetml/2006/main" count="463" uniqueCount="161">
  <si>
    <t>Ticker Symbol</t>
  </si>
  <si>
    <t>Weight</t>
  </si>
  <si>
    <t>Entry Date</t>
  </si>
  <si>
    <t>Entry Price</t>
  </si>
  <si>
    <t>Exit Date</t>
  </si>
  <si>
    <t>Exit Price</t>
  </si>
  <si>
    <t>Gain %</t>
  </si>
  <si>
    <t>Days Held</t>
  </si>
  <si>
    <t>Open Editor</t>
  </si>
  <si>
    <t>Dividends</t>
  </si>
  <si>
    <t>Close Editor</t>
  </si>
  <si>
    <t>USAS</t>
  </si>
  <si>
    <t>Karim</t>
  </si>
  <si>
    <t>CYRX</t>
  </si>
  <si>
    <t>LYV</t>
  </si>
  <si>
    <t>DGX</t>
  </si>
  <si>
    <t>Bryan</t>
  </si>
  <si>
    <t>LH</t>
  </si>
  <si>
    <t>TTCF</t>
  </si>
  <si>
    <t>TRIP</t>
  </si>
  <si>
    <t>RKT</t>
  </si>
  <si>
    <t>VGAC</t>
  </si>
  <si>
    <t>GMBL</t>
  </si>
  <si>
    <t>ABNB</t>
  </si>
  <si>
    <t>CLF</t>
  </si>
  <si>
    <t>HOFV</t>
  </si>
  <si>
    <t>Bryan Bottarelli</t>
  </si>
  <si>
    <t>REYN</t>
  </si>
  <si>
    <t>F</t>
  </si>
  <si>
    <t>MUDS</t>
  </si>
  <si>
    <t>COTY</t>
  </si>
  <si>
    <t>CRSP</t>
  </si>
  <si>
    <t>BIIB</t>
  </si>
  <si>
    <t>SDC</t>
  </si>
  <si>
    <t>JOAN</t>
  </si>
  <si>
    <t>CAR</t>
  </si>
  <si>
    <t>GRWG</t>
  </si>
  <si>
    <t>MSGE</t>
  </si>
  <si>
    <t>APTV</t>
  </si>
  <si>
    <t>CARR</t>
  </si>
  <si>
    <t>SOFI</t>
  </si>
  <si>
    <t>HTZZW</t>
  </si>
  <si>
    <t>WW</t>
  </si>
  <si>
    <t>JSPR</t>
  </si>
  <si>
    <t>IMAX</t>
  </si>
  <si>
    <t>PLL</t>
  </si>
  <si>
    <t>JOBY</t>
  </si>
  <si>
    <t>CHWY</t>
  </si>
  <si>
    <t>REAL</t>
  </si>
  <si>
    <t>TR</t>
  </si>
  <si>
    <t>WRBY</t>
  </si>
  <si>
    <t>BLNK</t>
  </si>
  <si>
    <t>CAT</t>
  </si>
  <si>
    <t>CIBR</t>
  </si>
  <si>
    <t>SLQT</t>
  </si>
  <si>
    <t>HA</t>
  </si>
  <si>
    <t>ANGI</t>
  </si>
  <si>
    <t>PYPL</t>
  </si>
  <si>
    <t>VWAGY</t>
  </si>
  <si>
    <t>UBER</t>
  </si>
  <si>
    <t>RIG</t>
  </si>
  <si>
    <t>HBI</t>
  </si>
  <si>
    <t>DXD</t>
  </si>
  <si>
    <t>RBLX</t>
  </si>
  <si>
    <t>AEM</t>
  </si>
  <si>
    <t>SBFM</t>
  </si>
  <si>
    <t>WOOF</t>
  </si>
  <si>
    <t>DFEN</t>
  </si>
  <si>
    <t>EBAY</t>
  </si>
  <si>
    <t>SBUX</t>
  </si>
  <si>
    <t>TGT</t>
  </si>
  <si>
    <t>GNRC</t>
  </si>
  <si>
    <t>INTC</t>
  </si>
  <si>
    <t>OC</t>
  </si>
  <si>
    <t>NWSA</t>
  </si>
  <si>
    <t>IBM</t>
  </si>
  <si>
    <t>NEM</t>
  </si>
  <si>
    <t>META</t>
  </si>
  <si>
    <t>CCJ</t>
  </si>
  <si>
    <t>AWK</t>
  </si>
  <si>
    <t>WINA</t>
  </si>
  <si>
    <t>X</t>
  </si>
  <si>
    <t>SHOP</t>
  </si>
  <si>
    <t>OPEN</t>
  </si>
  <si>
    <t>PSX</t>
  </si>
  <si>
    <t>ORCL</t>
  </si>
  <si>
    <t>TSM</t>
  </si>
  <si>
    <t>RIVN</t>
  </si>
  <si>
    <t>DIS</t>
  </si>
  <si>
    <t>RTX</t>
  </si>
  <si>
    <t>DAL</t>
  </si>
  <si>
    <t>LVMUY</t>
  </si>
  <si>
    <t>SCHW</t>
  </si>
  <si>
    <t>ADT</t>
  </si>
  <si>
    <t>AI</t>
  </si>
  <si>
    <t>BA</t>
  </si>
  <si>
    <t>BOOT</t>
  </si>
  <si>
    <t>CBOE</t>
  </si>
  <si>
    <t>PSTX</t>
  </si>
  <si>
    <t>SNOW</t>
  </si>
  <si>
    <t>Win rate</t>
  </si>
  <si>
    <t>Avg weighted return</t>
  </si>
  <si>
    <t>Avg duration</t>
  </si>
  <si>
    <t>YTD</t>
  </si>
  <si>
    <t>KWEB</t>
  </si>
  <si>
    <t>NSPL</t>
  </si>
  <si>
    <t>NSPY</t>
  </si>
  <si>
    <t>AMC</t>
  </si>
  <si>
    <t>PNC</t>
  </si>
  <si>
    <t>USB.PR</t>
  </si>
  <si>
    <t>WBA</t>
  </si>
  <si>
    <t>NRG</t>
  </si>
  <si>
    <t>Top 10 (inception)</t>
  </si>
  <si>
    <t>rank</t>
  </si>
  <si>
    <t>ALB</t>
  </si>
  <si>
    <t>ATEC</t>
  </si>
  <si>
    <t>GDXJ</t>
  </si>
  <si>
    <t>GPRO</t>
  </si>
  <si>
    <t>HTZ</t>
  </si>
  <si>
    <t>KDP</t>
  </si>
  <si>
    <t>LW</t>
  </si>
  <si>
    <t>PFE</t>
  </si>
  <si>
    <t>PTON240119C00015000</t>
  </si>
  <si>
    <t>XBI</t>
  </si>
  <si>
    <t>Z</t>
  </si>
  <si>
    <t>BTG</t>
  </si>
  <si>
    <t>Number of Winners</t>
  </si>
  <si>
    <t>Number of Trades</t>
  </si>
  <si>
    <t xml:space="preserve">Avg Return </t>
  </si>
  <si>
    <t>Avg Return</t>
  </si>
  <si>
    <t>TPU Since Inception</t>
  </si>
  <si>
    <t>Top 5 (ytd)</t>
  </si>
  <si>
    <t>AI consolidated</t>
  </si>
  <si>
    <t>ET still open - removed</t>
  </si>
  <si>
    <t>SNOW cons</t>
  </si>
  <si>
    <t>pstx cons</t>
  </si>
  <si>
    <t>boot cons</t>
  </si>
  <si>
    <t>JWN</t>
  </si>
  <si>
    <t>LVS</t>
  </si>
  <si>
    <t>MAR</t>
  </si>
  <si>
    <t>MCD</t>
  </si>
  <si>
    <t>NKE</t>
  </si>
  <si>
    <t>RYCEY</t>
  </si>
  <si>
    <t>VZ</t>
  </si>
  <si>
    <t>ET</t>
  </si>
  <si>
    <t>XLF</t>
  </si>
  <si>
    <t>VRTX</t>
  </si>
  <si>
    <t>SYK</t>
  </si>
  <si>
    <t>TJX</t>
  </si>
  <si>
    <t>XLE</t>
  </si>
  <si>
    <t>TTD</t>
  </si>
  <si>
    <t>weighted</t>
  </si>
  <si>
    <t>SOUN</t>
  </si>
  <si>
    <t>AJAN</t>
  </si>
  <si>
    <t>BATRK</t>
  </si>
  <si>
    <t>FWONA</t>
  </si>
  <si>
    <t>MAT</t>
  </si>
  <si>
    <t>NEE</t>
  </si>
  <si>
    <t>PEP</t>
  </si>
  <si>
    <t>PGX</t>
  </si>
  <si>
    <t>Last Update: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</si>
</sst>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0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4" xfId="0" applyBorder="1"/>
    <xf numFmtId="0" fontId="0" fillId="0" borderId="5" xfId="0" applyBorder="1"/>
    <xf numFmtId="10" fontId="0" fillId="0" borderId="5" xfId="0" applyNumberFormat="1" applyBorder="1"/>
    <xf numFmtId="0" fontId="0" fillId="0" borderId="6" xfId="0" applyBorder="1"/>
    <xf numFmtId="165" fontId="0" fillId="0" borderId="7" xfId="0" applyNumberFormat="1" applyBorder="1"/>
    <xf numFmtId="164" fontId="0" fillId="0" borderId="5" xfId="0" applyNumberFormat="1" applyBorder="1"/>
    <xf numFmtId="0" fontId="3" fillId="0" borderId="10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" xfId="0" applyFont="1" applyBorder="1"/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0" fillId="2" borderId="0" xfId="0" applyNumberFormat="1" applyFill="1"/>
    <xf numFmtId="10" fontId="0" fillId="2" borderId="0" xfId="0" applyNumberFormat="1" applyFill="1"/>
    <xf numFmtId="0" fontId="2" fillId="0" borderId="12" xfId="0" applyFont="1" applyBorder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 wrapText="1"/>
    </xf>
    <xf numFmtId="10" fontId="4" fillId="0" borderId="0" xfId="0" applyNumberFormat="1" applyFont="1" applyAlignment="1">
      <alignment horizontal="center" wrapText="1"/>
    </xf>
    <xf numFmtId="0" fontId="0" fillId="0" borderId="11" xfId="0" applyBorder="1"/>
    <xf numFmtId="14" fontId="0" fillId="0" borderId="11" xfId="0" applyNumberFormat="1" applyBorder="1"/>
    <xf numFmtId="10" fontId="0" fillId="0" borderId="11" xfId="0" applyNumberFormat="1" applyBorder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7AE9-47E5-4134-9C06-408F67EC6889}">
  <dimension ref="A1:L38"/>
  <sheetViews>
    <sheetView tabSelected="1" topLeftCell="A6" zoomScale="98" workbookViewId="0">
      <selection activeCell="K11" sqref="K11"/>
    </sheetView>
  </sheetViews>
  <sheetFormatPr defaultRowHeight="15" x14ac:dyDescent="0.25"/>
  <cols>
    <col min="1" max="1" width="19.42578125" bestFit="1" customWidth="1"/>
    <col min="2" max="2" width="20.42578125" bestFit="1" customWidth="1"/>
    <col min="4" max="4" width="11.85546875" bestFit="1" customWidth="1"/>
    <col min="6" max="6" width="9.7109375" bestFit="1" customWidth="1"/>
  </cols>
  <sheetData>
    <row r="1" spans="1:5" ht="15.75" thickBot="1" x14ac:dyDescent="0.3">
      <c r="A1" s="44" t="s">
        <v>130</v>
      </c>
      <c r="B1" s="45"/>
      <c r="D1" t="s">
        <v>160</v>
      </c>
      <c r="E1" s="8">
        <v>45383</v>
      </c>
    </row>
    <row r="2" spans="1:5" x14ac:dyDescent="0.25">
      <c r="A2" s="10" t="s">
        <v>127</v>
      </c>
      <c r="B2" s="11">
        <f>COUNT('closed since inception'!G:G)</f>
        <v>149</v>
      </c>
    </row>
    <row r="3" spans="1:5" x14ac:dyDescent="0.25">
      <c r="A3" s="10" t="s">
        <v>126</v>
      </c>
      <c r="B3" s="11">
        <f>COUNTIF('closed since inception'!G:G,"&gt;0")</f>
        <v>79</v>
      </c>
    </row>
    <row r="4" spans="1:5" x14ac:dyDescent="0.25">
      <c r="A4" s="10" t="s">
        <v>100</v>
      </c>
      <c r="B4" s="12">
        <f>COUNTIF('closed since inception'!G:G,"&gt;0")/COUNT('closed since inception'!G:G)</f>
        <v>0.53020134228187921</v>
      </c>
    </row>
    <row r="5" spans="1:5" x14ac:dyDescent="0.25">
      <c r="A5" s="10" t="s">
        <v>128</v>
      </c>
      <c r="B5" s="12">
        <f>AVERAGE('closed since inception'!G:G)</f>
        <v>-6.8473187342379613E-4</v>
      </c>
    </row>
    <row r="6" spans="1:5" x14ac:dyDescent="0.25">
      <c r="A6" s="10" t="s">
        <v>101</v>
      </c>
      <c r="B6" s="12">
        <f>SUM('closed since inception'!H:H)</f>
        <v>-1.1477015610286818E-2</v>
      </c>
    </row>
    <row r="7" spans="1:5" ht="15.75" thickBot="1" x14ac:dyDescent="0.3">
      <c r="A7" s="13" t="s">
        <v>102</v>
      </c>
      <c r="B7" s="14">
        <f>AVERAGE('closed since inception'!I:I)</f>
        <v>139.64429530201343</v>
      </c>
    </row>
    <row r="9" spans="1:5" ht="15.75" thickBot="1" x14ac:dyDescent="0.3"/>
    <row r="10" spans="1:5" ht="15.75" thickBot="1" x14ac:dyDescent="0.3">
      <c r="A10" s="44" t="s">
        <v>103</v>
      </c>
      <c r="B10" s="45"/>
    </row>
    <row r="11" spans="1:5" x14ac:dyDescent="0.25">
      <c r="A11" s="10" t="s">
        <v>127</v>
      </c>
      <c r="B11" s="11">
        <f>COUNT(YTD!G:G)</f>
        <v>17</v>
      </c>
    </row>
    <row r="12" spans="1:5" x14ac:dyDescent="0.25">
      <c r="A12" s="10" t="s">
        <v>126</v>
      </c>
      <c r="B12" s="11">
        <f>COUNTIF(YTD!G:G,"&gt;0")</f>
        <v>12</v>
      </c>
    </row>
    <row r="13" spans="1:5" x14ac:dyDescent="0.25">
      <c r="A13" s="10" t="s">
        <v>100</v>
      </c>
      <c r="B13" s="15">
        <f>COUNTIF(YTD!G2:G48,"&gt;0")/COUNT(YTD!G2:G48)</f>
        <v>0.70588235294117652</v>
      </c>
    </row>
    <row r="14" spans="1:5" x14ac:dyDescent="0.25">
      <c r="A14" s="10" t="s">
        <v>129</v>
      </c>
      <c r="B14" s="15">
        <f>AVERAGE(YTD!G:G)</f>
        <v>0.10192352941176473</v>
      </c>
    </row>
    <row r="15" spans="1:5" x14ac:dyDescent="0.25">
      <c r="A15" s="10" t="s">
        <v>101</v>
      </c>
      <c r="B15" s="12">
        <f>SUM(YTD!H:H)</f>
        <v>0.10013161397670549</v>
      </c>
    </row>
    <row r="16" spans="1:5" ht="15.75" thickBot="1" x14ac:dyDescent="0.3">
      <c r="A16" s="13" t="s">
        <v>102</v>
      </c>
      <c r="B16" s="14">
        <f>AVERAGE(YTD!I:I)</f>
        <v>258.1764705882353</v>
      </c>
    </row>
    <row r="18" spans="1:8" ht="15.75" thickBot="1" x14ac:dyDescent="0.3"/>
    <row r="19" spans="1:8" ht="15.75" thickBot="1" x14ac:dyDescent="0.3">
      <c r="A19" s="23" t="s">
        <v>112</v>
      </c>
    </row>
    <row r="20" spans="1:8" x14ac:dyDescent="0.25">
      <c r="A20" s="31" t="s">
        <v>113</v>
      </c>
      <c r="B20" s="16" t="s">
        <v>0</v>
      </c>
      <c r="C20" s="16" t="s">
        <v>1</v>
      </c>
      <c r="D20" s="16" t="s">
        <v>2</v>
      </c>
      <c r="E20" s="16" t="s">
        <v>3</v>
      </c>
      <c r="F20" s="16" t="s">
        <v>4</v>
      </c>
      <c r="G20" s="16" t="s">
        <v>6</v>
      </c>
      <c r="H20" s="17" t="s">
        <v>7</v>
      </c>
    </row>
    <row r="21" spans="1:8" x14ac:dyDescent="0.25">
      <c r="A21" s="10">
        <v>1</v>
      </c>
      <c r="B21" s="38" t="s">
        <v>142</v>
      </c>
      <c r="C21" s="1">
        <v>1</v>
      </c>
      <c r="D21" s="8">
        <v>44651</v>
      </c>
      <c r="E21" s="2">
        <v>1.1399999999999999</v>
      </c>
      <c r="F21" s="8">
        <v>45267</v>
      </c>
      <c r="G21" s="39">
        <v>2.1669999999999998</v>
      </c>
      <c r="H21" s="18">
        <f>_xlfn.DAYS(F21,D21)</f>
        <v>616</v>
      </c>
    </row>
    <row r="22" spans="1:8" x14ac:dyDescent="0.25">
      <c r="A22" s="10">
        <v>2</v>
      </c>
      <c r="B22" s="2" t="s">
        <v>32</v>
      </c>
      <c r="C22" s="2">
        <v>1</v>
      </c>
      <c r="D22" s="3">
        <v>44245</v>
      </c>
      <c r="E22" s="2">
        <v>-55.02</v>
      </c>
      <c r="F22" s="3">
        <v>44354</v>
      </c>
      <c r="G22" s="4">
        <v>0.72799999999999998</v>
      </c>
      <c r="H22" s="18">
        <v>109</v>
      </c>
    </row>
    <row r="23" spans="1:8" x14ac:dyDescent="0.25">
      <c r="A23" s="10">
        <v>3</v>
      </c>
      <c r="B23" s="2" t="s">
        <v>28</v>
      </c>
      <c r="C23" s="2">
        <v>1</v>
      </c>
      <c r="D23" s="3">
        <v>44427</v>
      </c>
      <c r="E23" s="2">
        <v>12.75</v>
      </c>
      <c r="F23" s="3">
        <v>44574</v>
      </c>
      <c r="G23" s="4">
        <v>0.50372549019607837</v>
      </c>
      <c r="H23" s="18">
        <v>147</v>
      </c>
    </row>
    <row r="24" spans="1:8" x14ac:dyDescent="0.25">
      <c r="A24" s="10">
        <v>4</v>
      </c>
      <c r="B24" s="2" t="s">
        <v>43</v>
      </c>
      <c r="C24" s="2">
        <v>1</v>
      </c>
      <c r="D24" s="3">
        <v>44476</v>
      </c>
      <c r="E24" s="2">
        <v>8.5</v>
      </c>
      <c r="F24" s="3">
        <v>44482</v>
      </c>
      <c r="G24" s="4">
        <v>0.500294117647059</v>
      </c>
      <c r="H24" s="18">
        <v>6</v>
      </c>
    </row>
    <row r="25" spans="1:8" x14ac:dyDescent="0.25">
      <c r="A25" s="10">
        <v>5</v>
      </c>
      <c r="B25" s="2" t="s">
        <v>19</v>
      </c>
      <c r="C25" s="2">
        <v>1</v>
      </c>
      <c r="D25" s="3">
        <v>44175</v>
      </c>
      <c r="E25" s="2">
        <v>29.05</v>
      </c>
      <c r="F25" s="3">
        <v>44250</v>
      </c>
      <c r="G25" s="4">
        <v>0.488037865748709</v>
      </c>
      <c r="H25" s="18">
        <v>75</v>
      </c>
    </row>
    <row r="26" spans="1:8" x14ac:dyDescent="0.25">
      <c r="A26" s="10">
        <v>6</v>
      </c>
      <c r="B26" s="2" t="s">
        <v>20</v>
      </c>
      <c r="C26" s="2">
        <v>1</v>
      </c>
      <c r="D26" s="3">
        <v>44231</v>
      </c>
      <c r="E26" s="2">
        <v>21.56</v>
      </c>
      <c r="F26" s="3">
        <v>44258</v>
      </c>
      <c r="G26" s="4">
        <v>0.43286178107606688</v>
      </c>
      <c r="H26" s="18">
        <v>27</v>
      </c>
    </row>
    <row r="27" spans="1:8" x14ac:dyDescent="0.25">
      <c r="A27" s="10">
        <v>7</v>
      </c>
      <c r="B27" s="2" t="s">
        <v>152</v>
      </c>
      <c r="C27" s="2">
        <v>1</v>
      </c>
      <c r="D27" s="3">
        <v>45357</v>
      </c>
      <c r="E27" s="2">
        <v>5.17</v>
      </c>
      <c r="F27" s="3">
        <v>45365</v>
      </c>
      <c r="G27" s="4">
        <v>0.42499999999999999</v>
      </c>
      <c r="H27" s="18">
        <v>8</v>
      </c>
    </row>
    <row r="28" spans="1:8" x14ac:dyDescent="0.25">
      <c r="A28" s="10">
        <v>8</v>
      </c>
      <c r="B28" s="2" t="s">
        <v>40</v>
      </c>
      <c r="C28" s="2">
        <v>1</v>
      </c>
      <c r="D28" s="3">
        <v>44932</v>
      </c>
      <c r="E28" s="2">
        <v>4.53</v>
      </c>
      <c r="F28" s="3">
        <v>44966</v>
      </c>
      <c r="G28" s="4">
        <v>0.38741721854304623</v>
      </c>
      <c r="H28" s="18">
        <v>34</v>
      </c>
    </row>
    <row r="29" spans="1:8" x14ac:dyDescent="0.25">
      <c r="A29" s="10">
        <v>9</v>
      </c>
      <c r="B29" s="2" t="s">
        <v>13</v>
      </c>
      <c r="C29" s="2">
        <v>1</v>
      </c>
      <c r="D29" s="3">
        <v>44153</v>
      </c>
      <c r="E29" s="2">
        <v>48.85</v>
      </c>
      <c r="F29" s="3">
        <v>44222</v>
      </c>
      <c r="G29" s="4">
        <v>0.35757420675537377</v>
      </c>
      <c r="H29" s="18">
        <v>69</v>
      </c>
    </row>
    <row r="30" spans="1:8" ht="15.75" thickBot="1" x14ac:dyDescent="0.3">
      <c r="A30" s="13">
        <v>10</v>
      </c>
      <c r="B30" s="19" t="s">
        <v>95</v>
      </c>
      <c r="C30" s="19">
        <v>1</v>
      </c>
      <c r="D30" s="20">
        <v>44819</v>
      </c>
      <c r="E30" s="19">
        <v>147.88</v>
      </c>
      <c r="F30" s="20">
        <v>45187</v>
      </c>
      <c r="G30" s="21">
        <v>0.34939999999999999</v>
      </c>
      <c r="H30" s="22">
        <f>F30-D30</f>
        <v>368</v>
      </c>
    </row>
    <row r="31" spans="1:8" ht="15.75" thickBot="1" x14ac:dyDescent="0.3"/>
    <row r="32" spans="1:8" ht="15.75" thickBot="1" x14ac:dyDescent="0.3">
      <c r="A32" s="30" t="s">
        <v>131</v>
      </c>
    </row>
    <row r="33" spans="1:12" x14ac:dyDescent="0.25">
      <c r="A33" s="31" t="s">
        <v>113</v>
      </c>
      <c r="B33" s="16" t="s">
        <v>0</v>
      </c>
      <c r="C33" s="16" t="s">
        <v>1</v>
      </c>
      <c r="D33" s="16" t="s">
        <v>2</v>
      </c>
      <c r="E33" s="16" t="s">
        <v>3</v>
      </c>
      <c r="F33" s="16" t="s">
        <v>4</v>
      </c>
      <c r="G33" s="16" t="s">
        <v>6</v>
      </c>
      <c r="H33" s="17" t="s">
        <v>7</v>
      </c>
    </row>
    <row r="34" spans="1:12" x14ac:dyDescent="0.25">
      <c r="A34" s="10">
        <v>1</v>
      </c>
      <c r="B34" t="s">
        <v>152</v>
      </c>
      <c r="C34">
        <v>1</v>
      </c>
      <c r="D34" s="8">
        <v>45357</v>
      </c>
      <c r="E34">
        <v>5.17</v>
      </c>
      <c r="F34" s="8">
        <v>45365</v>
      </c>
      <c r="G34" s="7">
        <v>0.42499999999999999</v>
      </c>
      <c r="H34" s="11">
        <v>8</v>
      </c>
      <c r="I34" s="2"/>
      <c r="J34" s="2"/>
      <c r="K34" s="2"/>
      <c r="L34" s="2"/>
    </row>
    <row r="35" spans="1:12" x14ac:dyDescent="0.25">
      <c r="A35" s="10">
        <v>2</v>
      </c>
      <c r="B35" t="s">
        <v>144</v>
      </c>
      <c r="C35">
        <v>1</v>
      </c>
      <c r="D35" s="8">
        <v>44827</v>
      </c>
      <c r="E35">
        <v>11</v>
      </c>
      <c r="F35" s="8">
        <v>45309</v>
      </c>
      <c r="G35" s="7">
        <v>0.3417</v>
      </c>
      <c r="H35" s="11">
        <f>_xlfn.DAYS(F35,D35)</f>
        <v>482</v>
      </c>
      <c r="I35" s="2"/>
      <c r="J35" s="2"/>
      <c r="K35" s="2"/>
      <c r="L35" s="2"/>
    </row>
    <row r="36" spans="1:12" x14ac:dyDescent="0.25">
      <c r="A36" s="10">
        <v>3</v>
      </c>
      <c r="B36" t="s">
        <v>150</v>
      </c>
      <c r="C36">
        <v>1</v>
      </c>
      <c r="D36" s="8">
        <v>45302</v>
      </c>
      <c r="E36">
        <v>68.599999999999994</v>
      </c>
      <c r="F36" s="8">
        <v>45366</v>
      </c>
      <c r="G36" s="7">
        <v>0.24829999999999999</v>
      </c>
      <c r="H36" s="11">
        <f t="shared" ref="H36:H38" si="0">_xlfn.DAYS(F36,D36)</f>
        <v>64</v>
      </c>
    </row>
    <row r="37" spans="1:12" x14ac:dyDescent="0.25">
      <c r="A37" s="10">
        <v>4</v>
      </c>
      <c r="B37" t="s">
        <v>146</v>
      </c>
      <c r="C37">
        <v>1</v>
      </c>
      <c r="D37" s="8">
        <v>45239</v>
      </c>
      <c r="E37">
        <v>42.27</v>
      </c>
      <c r="F37" s="8">
        <v>45309</v>
      </c>
      <c r="G37" s="7">
        <v>0.21840000000000001</v>
      </c>
      <c r="H37" s="11">
        <f t="shared" si="0"/>
        <v>70</v>
      </c>
    </row>
    <row r="38" spans="1:12" ht="15.75" thickBot="1" x14ac:dyDescent="0.3">
      <c r="A38" s="13">
        <v>5</v>
      </c>
      <c r="B38" s="40" t="s">
        <v>144</v>
      </c>
      <c r="C38" s="40">
        <v>1</v>
      </c>
      <c r="D38" s="41">
        <v>45026</v>
      </c>
      <c r="E38" s="40">
        <v>12.5</v>
      </c>
      <c r="F38" s="41">
        <v>45309</v>
      </c>
      <c r="G38" s="42">
        <v>0.1784</v>
      </c>
      <c r="H38" s="43">
        <f t="shared" si="0"/>
        <v>283</v>
      </c>
    </row>
  </sheetData>
  <mergeCells count="2">
    <mergeCell ref="A10:B10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9592-257E-4030-85BA-CC36FBA006DA}">
  <dimension ref="A1:XFC150"/>
  <sheetViews>
    <sheetView workbookViewId="0">
      <pane ySplit="1" topLeftCell="A2" activePane="bottomLeft" state="frozen"/>
      <selection pane="bottomLeft" activeCell="U17" sqref="U17"/>
    </sheetView>
  </sheetViews>
  <sheetFormatPr defaultRowHeight="15" x14ac:dyDescent="0.25"/>
  <cols>
    <col min="2" max="2" width="9.140625" style="36"/>
    <col min="3" max="3" width="13.140625" bestFit="1" customWidth="1"/>
    <col min="5" max="5" width="12.140625" bestFit="1" customWidth="1"/>
    <col min="6" max="6" width="9.7109375" bestFit="1" customWidth="1"/>
  </cols>
  <sheetData>
    <row r="1" spans="1:13" ht="24.75" x14ac:dyDescent="0.25">
      <c r="A1" s="1" t="s">
        <v>0</v>
      </c>
      <c r="B1" s="3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  <c r="K1" s="1" t="s">
        <v>8</v>
      </c>
      <c r="L1" s="1" t="s">
        <v>9</v>
      </c>
      <c r="M1" s="1" t="s">
        <v>10</v>
      </c>
    </row>
    <row r="2" spans="1:13" x14ac:dyDescent="0.25">
      <c r="A2" s="2" t="s">
        <v>11</v>
      </c>
      <c r="B2" s="2">
        <v>0.5</v>
      </c>
      <c r="C2" s="3">
        <v>44133</v>
      </c>
      <c r="D2" s="2">
        <v>2.4300000000000002</v>
      </c>
      <c r="E2" s="3">
        <v>44144</v>
      </c>
      <c r="F2" s="2">
        <v>2.78</v>
      </c>
      <c r="G2" s="4">
        <v>0.14399999999999999</v>
      </c>
      <c r="H2" s="5">
        <f t="shared" ref="H2:H33" si="0">G2*B2/SUM(B:B)</f>
        <v>4.5827763987015468E-4</v>
      </c>
      <c r="I2" s="2">
        <v>11</v>
      </c>
      <c r="J2" s="2"/>
      <c r="K2" s="2" t="s">
        <v>12</v>
      </c>
      <c r="L2" s="2">
        <v>0</v>
      </c>
      <c r="M2" s="2"/>
    </row>
    <row r="3" spans="1:13" x14ac:dyDescent="0.25">
      <c r="A3" s="2" t="s">
        <v>13</v>
      </c>
      <c r="B3" s="2">
        <v>1</v>
      </c>
      <c r="C3" s="3">
        <v>44153</v>
      </c>
      <c r="D3" s="2">
        <v>48.85</v>
      </c>
      <c r="E3" s="3">
        <v>44222</v>
      </c>
      <c r="F3" s="2"/>
      <c r="G3" s="4">
        <v>0.35757420675537377</v>
      </c>
      <c r="H3" s="5">
        <f t="shared" si="0"/>
        <v>2.275948104865214E-3</v>
      </c>
      <c r="I3" s="2">
        <v>69</v>
      </c>
      <c r="J3" s="2"/>
      <c r="K3" s="2"/>
      <c r="L3" s="2"/>
      <c r="M3" s="2"/>
    </row>
    <row r="4" spans="1:13" x14ac:dyDescent="0.25">
      <c r="A4" s="2" t="s">
        <v>14</v>
      </c>
      <c r="B4" s="2">
        <v>1</v>
      </c>
      <c r="C4" s="3">
        <v>44217</v>
      </c>
      <c r="D4" s="2">
        <v>-14.3</v>
      </c>
      <c r="E4" s="3">
        <v>44231</v>
      </c>
      <c r="F4" s="2">
        <v>15.1</v>
      </c>
      <c r="G4" s="4">
        <v>5.6000000000000001E-2</v>
      </c>
      <c r="H4" s="5">
        <f t="shared" si="0"/>
        <v>3.5643816434345366E-4</v>
      </c>
      <c r="I4" s="2">
        <v>14</v>
      </c>
      <c r="J4" s="2"/>
      <c r="K4" s="2"/>
      <c r="L4" s="2"/>
      <c r="M4" s="2"/>
    </row>
    <row r="5" spans="1:13" x14ac:dyDescent="0.25">
      <c r="A5" s="2" t="s">
        <v>17</v>
      </c>
      <c r="B5" s="2">
        <v>0.2</v>
      </c>
      <c r="C5" s="3">
        <v>44126</v>
      </c>
      <c r="D5" s="2">
        <v>204.54</v>
      </c>
      <c r="E5" s="3">
        <v>44245</v>
      </c>
      <c r="F5" s="2">
        <v>241.69</v>
      </c>
      <c r="G5" s="4">
        <v>0.182</v>
      </c>
      <c r="H5" s="5">
        <f t="shared" si="0"/>
        <v>2.3168480682324489E-4</v>
      </c>
      <c r="I5" s="2">
        <v>119</v>
      </c>
      <c r="J5" s="2"/>
      <c r="K5" s="2" t="s">
        <v>16</v>
      </c>
      <c r="L5" s="2">
        <v>0</v>
      </c>
      <c r="M5" s="2"/>
    </row>
    <row r="6" spans="1:13" x14ac:dyDescent="0.25">
      <c r="A6" s="2" t="s">
        <v>15</v>
      </c>
      <c r="B6" s="2">
        <v>0.2</v>
      </c>
      <c r="C6" s="3">
        <v>44126</v>
      </c>
      <c r="D6" s="2">
        <v>121.44</v>
      </c>
      <c r="E6" s="3">
        <v>44245</v>
      </c>
      <c r="F6" s="2">
        <v>121.18</v>
      </c>
      <c r="G6" s="4">
        <v>2E-3</v>
      </c>
      <c r="H6" s="5">
        <f t="shared" si="0"/>
        <v>2.5459868881675263E-6</v>
      </c>
      <c r="I6" s="2">
        <v>119</v>
      </c>
      <c r="J6" s="2"/>
      <c r="K6" s="2" t="s">
        <v>16</v>
      </c>
      <c r="L6" s="2">
        <v>0.11</v>
      </c>
      <c r="M6" s="2"/>
    </row>
    <row r="7" spans="1:13" x14ac:dyDescent="0.25">
      <c r="A7" s="2" t="s">
        <v>18</v>
      </c>
      <c r="B7" s="2">
        <v>1</v>
      </c>
      <c r="C7" s="3">
        <v>44140</v>
      </c>
      <c r="D7" s="2">
        <v>18.63</v>
      </c>
      <c r="E7" s="3">
        <v>44249</v>
      </c>
      <c r="F7" s="2"/>
      <c r="G7" s="4">
        <v>0.23590982286634454</v>
      </c>
      <c r="H7" s="5">
        <f t="shared" si="0"/>
        <v>1.5015582895190921E-3</v>
      </c>
      <c r="I7" s="2">
        <v>109</v>
      </c>
      <c r="J7" s="2"/>
      <c r="K7" s="2"/>
      <c r="L7" s="2"/>
      <c r="M7" s="2"/>
    </row>
    <row r="8" spans="1:13" x14ac:dyDescent="0.25">
      <c r="A8" s="2" t="s">
        <v>19</v>
      </c>
      <c r="B8" s="2">
        <v>1</v>
      </c>
      <c r="C8" s="3">
        <v>44175</v>
      </c>
      <c r="D8" s="2">
        <v>29.05</v>
      </c>
      <c r="E8" s="3">
        <v>44250</v>
      </c>
      <c r="F8" s="2"/>
      <c r="G8" s="4">
        <v>0.488037865748709</v>
      </c>
      <c r="H8" s="5">
        <f t="shared" si="0"/>
        <v>3.1063450178136914E-3</v>
      </c>
      <c r="I8" s="2">
        <v>75</v>
      </c>
      <c r="J8" s="2"/>
      <c r="K8" s="2"/>
      <c r="L8" s="2"/>
      <c r="M8" s="2"/>
    </row>
    <row r="9" spans="1:13" x14ac:dyDescent="0.25">
      <c r="A9" s="2" t="s">
        <v>20</v>
      </c>
      <c r="B9" s="2">
        <v>1</v>
      </c>
      <c r="C9" s="3">
        <v>44231</v>
      </c>
      <c r="D9" s="2">
        <v>21.56</v>
      </c>
      <c r="E9" s="3">
        <v>44258</v>
      </c>
      <c r="F9" s="2"/>
      <c r="G9" s="4">
        <v>0.43286178107606688</v>
      </c>
      <c r="H9" s="5">
        <f t="shared" si="0"/>
        <v>2.7551510475212712E-3</v>
      </c>
      <c r="I9" s="2">
        <v>27</v>
      </c>
      <c r="J9" s="2"/>
      <c r="K9" s="2"/>
      <c r="L9" s="2"/>
      <c r="M9" s="2"/>
    </row>
    <row r="10" spans="1:13" x14ac:dyDescent="0.25">
      <c r="A10" s="2" t="s">
        <v>21</v>
      </c>
      <c r="B10" s="2">
        <v>1</v>
      </c>
      <c r="C10" s="3">
        <v>44238</v>
      </c>
      <c r="D10" s="2">
        <v>14.34</v>
      </c>
      <c r="E10" s="3">
        <v>44260</v>
      </c>
      <c r="F10" s="2">
        <v>10.74</v>
      </c>
      <c r="G10" s="4">
        <v>-0.251</v>
      </c>
      <c r="H10" s="5">
        <f t="shared" si="0"/>
        <v>-1.5976067723251226E-3</v>
      </c>
      <c r="I10" s="2">
        <v>22</v>
      </c>
      <c r="J10" s="2"/>
      <c r="K10" s="2" t="s">
        <v>12</v>
      </c>
      <c r="L10" s="2">
        <v>0</v>
      </c>
      <c r="M10" s="2"/>
    </row>
    <row r="11" spans="1:13" x14ac:dyDescent="0.25">
      <c r="A11" s="2" t="s">
        <v>22</v>
      </c>
      <c r="B11" s="2">
        <v>1</v>
      </c>
      <c r="C11" s="3">
        <v>44259</v>
      </c>
      <c r="D11" s="2">
        <v>19.260000000000002</v>
      </c>
      <c r="E11" s="3">
        <v>44264</v>
      </c>
      <c r="F11" s="2">
        <v>14.44</v>
      </c>
      <c r="G11" s="6">
        <v>-0.25</v>
      </c>
      <c r="H11" s="5">
        <f t="shared" si="0"/>
        <v>-1.5912418051047038E-3</v>
      </c>
      <c r="I11" s="2">
        <v>5</v>
      </c>
      <c r="J11" s="2"/>
      <c r="K11" s="2" t="s">
        <v>16</v>
      </c>
      <c r="L11" s="2">
        <v>0</v>
      </c>
      <c r="M11" s="2"/>
    </row>
    <row r="12" spans="1:13" x14ac:dyDescent="0.25">
      <c r="A12" s="2" t="s">
        <v>23</v>
      </c>
      <c r="B12" s="2">
        <v>1</v>
      </c>
      <c r="C12" s="3">
        <v>44260</v>
      </c>
      <c r="D12" s="2">
        <v>166.5</v>
      </c>
      <c r="E12" s="3">
        <v>44280</v>
      </c>
      <c r="F12" s="2">
        <v>191.65</v>
      </c>
      <c r="G12" s="4">
        <v>0.151</v>
      </c>
      <c r="H12" s="5">
        <f t="shared" si="0"/>
        <v>9.6111005028324105E-4</v>
      </c>
      <c r="I12" s="2">
        <v>20</v>
      </c>
      <c r="J12" s="2"/>
      <c r="K12" s="2"/>
      <c r="L12" s="2"/>
      <c r="M12" s="2"/>
    </row>
    <row r="13" spans="1:13" x14ac:dyDescent="0.25">
      <c r="A13" s="2" t="s">
        <v>24</v>
      </c>
      <c r="B13" s="2">
        <v>1</v>
      </c>
      <c r="C13" s="3">
        <v>44280</v>
      </c>
      <c r="D13" s="2">
        <v>14.27</v>
      </c>
      <c r="E13" s="3">
        <v>44294</v>
      </c>
      <c r="F13" s="2">
        <v>17.899999999999999</v>
      </c>
      <c r="G13" s="4">
        <v>0.254</v>
      </c>
      <c r="H13" s="5">
        <f t="shared" si="0"/>
        <v>1.6167016739863792E-3</v>
      </c>
      <c r="I13" s="2">
        <v>14</v>
      </c>
      <c r="J13" s="2"/>
      <c r="K13" s="2"/>
      <c r="L13" s="2"/>
      <c r="M13" s="2"/>
    </row>
    <row r="14" spans="1:13" x14ac:dyDescent="0.25">
      <c r="A14" s="2" t="s">
        <v>25</v>
      </c>
      <c r="B14" s="2">
        <v>1</v>
      </c>
      <c r="C14" s="3">
        <v>44287</v>
      </c>
      <c r="D14" s="2">
        <v>5.3</v>
      </c>
      <c r="E14" s="3">
        <v>44298</v>
      </c>
      <c r="F14" s="2">
        <v>3.96</v>
      </c>
      <c r="G14" s="4">
        <v>-0.253</v>
      </c>
      <c r="H14" s="5">
        <f t="shared" si="0"/>
        <v>-1.6103367067659604E-3</v>
      </c>
      <c r="I14" s="2">
        <v>11</v>
      </c>
      <c r="J14" s="2"/>
      <c r="K14" s="2" t="s">
        <v>26</v>
      </c>
      <c r="L14" s="2">
        <v>0</v>
      </c>
      <c r="M14" s="2"/>
    </row>
    <row r="15" spans="1:13" x14ac:dyDescent="0.25">
      <c r="A15" s="2" t="s">
        <v>27</v>
      </c>
      <c r="B15" s="2">
        <v>1</v>
      </c>
      <c r="C15" s="3">
        <v>44196</v>
      </c>
      <c r="D15" s="2">
        <v>30.13</v>
      </c>
      <c r="E15" s="3">
        <v>44308</v>
      </c>
      <c r="F15" s="2">
        <v>30.77</v>
      </c>
      <c r="G15" s="4">
        <v>2.9000000000000001E-2</v>
      </c>
      <c r="H15" s="5">
        <f t="shared" si="0"/>
        <v>1.8458404939214565E-4</v>
      </c>
      <c r="I15" s="2">
        <v>112</v>
      </c>
      <c r="J15" s="2"/>
      <c r="K15" s="2" t="s">
        <v>12</v>
      </c>
      <c r="L15" s="2">
        <v>0.23</v>
      </c>
      <c r="M15" s="2"/>
    </row>
    <row r="16" spans="1:13" x14ac:dyDescent="0.25">
      <c r="A16" s="2" t="s">
        <v>28</v>
      </c>
      <c r="B16" s="2">
        <v>1</v>
      </c>
      <c r="C16" s="3">
        <v>44210</v>
      </c>
      <c r="D16" s="2">
        <v>9.81</v>
      </c>
      <c r="E16" s="3">
        <v>44315</v>
      </c>
      <c r="F16" s="2"/>
      <c r="G16" s="4">
        <v>-1</v>
      </c>
      <c r="H16" s="5">
        <f t="shared" si="0"/>
        <v>-6.3649672204188152E-3</v>
      </c>
      <c r="I16" s="2">
        <v>105</v>
      </c>
      <c r="J16" s="2"/>
      <c r="K16" s="2"/>
      <c r="L16" s="2"/>
      <c r="M16" s="2"/>
    </row>
    <row r="17" spans="1:13" x14ac:dyDescent="0.25">
      <c r="A17" s="2" t="s">
        <v>29</v>
      </c>
      <c r="B17" s="2">
        <v>1</v>
      </c>
      <c r="C17" s="3">
        <v>44301</v>
      </c>
      <c r="D17" s="2">
        <v>13.33</v>
      </c>
      <c r="E17" s="3">
        <v>44322</v>
      </c>
      <c r="F17" s="2"/>
      <c r="G17" s="4">
        <v>0.22655663915978996</v>
      </c>
      <c r="H17" s="5">
        <f t="shared" si="0"/>
        <v>1.442025581820317E-3</v>
      </c>
      <c r="I17" s="2">
        <v>21</v>
      </c>
      <c r="J17" s="2"/>
      <c r="K17" s="2"/>
      <c r="L17" s="2"/>
      <c r="M17" s="2"/>
    </row>
    <row r="18" spans="1:13" x14ac:dyDescent="0.25">
      <c r="A18" s="2" t="s">
        <v>30</v>
      </c>
      <c r="B18" s="2">
        <v>1</v>
      </c>
      <c r="C18" s="3">
        <v>44168</v>
      </c>
      <c r="D18" s="2">
        <v>7.44</v>
      </c>
      <c r="E18" s="3">
        <v>44327</v>
      </c>
      <c r="F18" s="2"/>
      <c r="G18" s="4">
        <v>0.21236559139784927</v>
      </c>
      <c r="H18" s="5">
        <f t="shared" si="0"/>
        <v>1.3517000279921667E-3</v>
      </c>
      <c r="I18" s="2">
        <v>159</v>
      </c>
      <c r="J18" s="2"/>
      <c r="K18" s="2"/>
      <c r="L18" s="2"/>
      <c r="M18" s="2"/>
    </row>
    <row r="19" spans="1:13" x14ac:dyDescent="0.25">
      <c r="A19" s="2" t="s">
        <v>31</v>
      </c>
      <c r="B19" s="2">
        <v>1</v>
      </c>
      <c r="C19" s="3">
        <v>44315</v>
      </c>
      <c r="D19" s="2">
        <v>136.77000000000001</v>
      </c>
      <c r="E19" s="3">
        <v>44329</v>
      </c>
      <c r="F19" s="2">
        <v>97.14</v>
      </c>
      <c r="G19" s="6">
        <v>-0.28999999999999998</v>
      </c>
      <c r="H19" s="5">
        <f t="shared" si="0"/>
        <v>-1.8458404939214563E-3</v>
      </c>
      <c r="I19" s="2">
        <v>14</v>
      </c>
      <c r="J19" s="2"/>
      <c r="K19" s="2" t="s">
        <v>16</v>
      </c>
      <c r="L19" s="2">
        <v>0</v>
      </c>
      <c r="M19" s="2"/>
    </row>
    <row r="20" spans="1:13" x14ac:dyDescent="0.25">
      <c r="A20" s="2" t="s">
        <v>32</v>
      </c>
      <c r="B20" s="2">
        <v>1</v>
      </c>
      <c r="C20" s="3">
        <v>44245</v>
      </c>
      <c r="D20" s="2">
        <v>-55.02</v>
      </c>
      <c r="E20" s="3">
        <v>44354</v>
      </c>
      <c r="F20" s="2">
        <v>95.05</v>
      </c>
      <c r="G20" s="4">
        <v>0.72799999999999998</v>
      </c>
      <c r="H20" s="5">
        <f t="shared" si="0"/>
        <v>4.6336961364648972E-3</v>
      </c>
      <c r="I20" s="2">
        <v>109</v>
      </c>
      <c r="J20" s="2"/>
      <c r="K20" s="2"/>
      <c r="L20" s="2"/>
      <c r="M20" s="2"/>
    </row>
    <row r="21" spans="1:13" x14ac:dyDescent="0.25">
      <c r="A21" s="2" t="s">
        <v>33</v>
      </c>
      <c r="B21" s="2">
        <v>1</v>
      </c>
      <c r="C21" s="3">
        <v>44322</v>
      </c>
      <c r="D21" s="2">
        <v>8.3699999999999992</v>
      </c>
      <c r="E21" s="3">
        <v>44362</v>
      </c>
      <c r="F21" s="2"/>
      <c r="G21" s="4">
        <v>0.18518518518518534</v>
      </c>
      <c r="H21" s="5">
        <f t="shared" si="0"/>
        <v>1.1786976334108928E-3</v>
      </c>
      <c r="I21" s="2">
        <v>40</v>
      </c>
      <c r="J21" s="2"/>
      <c r="K21" s="2"/>
      <c r="L21" s="2"/>
      <c r="M21" s="2"/>
    </row>
    <row r="22" spans="1:13" x14ac:dyDescent="0.25">
      <c r="A22" s="2" t="s">
        <v>34</v>
      </c>
      <c r="B22" s="2">
        <v>1</v>
      </c>
      <c r="C22" s="3">
        <v>44294</v>
      </c>
      <c r="D22" s="2">
        <v>11.99</v>
      </c>
      <c r="E22" s="3">
        <v>44364</v>
      </c>
      <c r="F22" s="2"/>
      <c r="G22" s="4">
        <v>0.2514595496246872</v>
      </c>
      <c r="H22" s="5">
        <f t="shared" si="0"/>
        <v>1.6005317906224125E-3</v>
      </c>
      <c r="I22" s="2">
        <v>70</v>
      </c>
      <c r="J22" s="2"/>
      <c r="K22" s="2"/>
      <c r="L22" s="2">
        <v>2.5000000000000001E-2</v>
      </c>
      <c r="M22" s="2"/>
    </row>
    <row r="23" spans="1:13" x14ac:dyDescent="0.25">
      <c r="A23" s="2" t="s">
        <v>35</v>
      </c>
      <c r="B23" s="2">
        <v>1</v>
      </c>
      <c r="C23" s="3">
        <v>44329</v>
      </c>
      <c r="D23" s="2">
        <v>75.8</v>
      </c>
      <c r="E23" s="3">
        <v>44365</v>
      </c>
      <c r="F23" s="2">
        <v>88.064999999999998</v>
      </c>
      <c r="G23" s="4">
        <v>0.16200000000000001</v>
      </c>
      <c r="H23" s="5">
        <f t="shared" si="0"/>
        <v>1.0311246897078481E-3</v>
      </c>
      <c r="I23" s="2">
        <v>36</v>
      </c>
      <c r="J23" s="2"/>
      <c r="K23" s="2"/>
      <c r="L23" s="2"/>
      <c r="M23" s="2"/>
    </row>
    <row r="24" spans="1:13" x14ac:dyDescent="0.25">
      <c r="A24" s="2" t="s">
        <v>25</v>
      </c>
      <c r="B24" s="2">
        <v>1</v>
      </c>
      <c r="C24" s="3">
        <v>44301</v>
      </c>
      <c r="D24" s="2">
        <v>3.65</v>
      </c>
      <c r="E24" s="3">
        <v>44376</v>
      </c>
      <c r="F24" s="2"/>
      <c r="G24" s="4">
        <v>0.12602739726027412</v>
      </c>
      <c r="H24" s="5">
        <f t="shared" si="0"/>
        <v>8.0216025243634484E-4</v>
      </c>
      <c r="I24" s="2">
        <v>75</v>
      </c>
      <c r="J24" s="2"/>
      <c r="K24" s="2"/>
      <c r="L24" s="2"/>
      <c r="M24" s="2"/>
    </row>
    <row r="25" spans="1:13" x14ac:dyDescent="0.25">
      <c r="A25" s="2" t="s">
        <v>36</v>
      </c>
      <c r="B25" s="2">
        <v>1</v>
      </c>
      <c r="C25" s="3">
        <v>44327</v>
      </c>
      <c r="D25" s="2">
        <v>37.450000000000003</v>
      </c>
      <c r="E25" s="3">
        <v>44385</v>
      </c>
      <c r="F25" s="2"/>
      <c r="G25" s="4">
        <v>0.22176234979973297</v>
      </c>
      <c r="H25" s="5">
        <f t="shared" si="0"/>
        <v>1.4115100871983513E-3</v>
      </c>
      <c r="I25" s="2">
        <v>58</v>
      </c>
      <c r="J25" s="2"/>
      <c r="K25" s="2"/>
      <c r="L25" s="2"/>
      <c r="M25" s="2"/>
    </row>
    <row r="26" spans="1:13" x14ac:dyDescent="0.25">
      <c r="A26" s="2" t="s">
        <v>37</v>
      </c>
      <c r="B26" s="2">
        <v>1</v>
      </c>
      <c r="C26" s="3">
        <v>44217</v>
      </c>
      <c r="D26" s="2">
        <v>91.78</v>
      </c>
      <c r="E26" s="3">
        <v>44404</v>
      </c>
      <c r="F26" s="2">
        <v>68.78</v>
      </c>
      <c r="G26" s="4">
        <v>-0.251</v>
      </c>
      <c r="H26" s="5">
        <f t="shared" si="0"/>
        <v>-1.5976067723251226E-3</v>
      </c>
      <c r="I26" s="2">
        <v>187</v>
      </c>
      <c r="J26" s="2"/>
      <c r="K26" s="2"/>
      <c r="L26" s="2"/>
      <c r="M26" s="2"/>
    </row>
    <row r="27" spans="1:13" x14ac:dyDescent="0.25">
      <c r="A27" s="2" t="s">
        <v>38</v>
      </c>
      <c r="B27" s="2">
        <v>1</v>
      </c>
      <c r="C27" s="3">
        <v>44203</v>
      </c>
      <c r="D27" s="2">
        <v>141.02000000000001</v>
      </c>
      <c r="E27" s="3">
        <v>44420</v>
      </c>
      <c r="F27" s="2">
        <v>168.45</v>
      </c>
      <c r="G27" s="4">
        <v>0.19500000000000001</v>
      </c>
      <c r="H27" s="5">
        <f t="shared" si="0"/>
        <v>1.2411686079816691E-3</v>
      </c>
      <c r="I27" s="2">
        <v>217</v>
      </c>
      <c r="J27" s="2"/>
      <c r="K27" s="2" t="s">
        <v>16</v>
      </c>
      <c r="L27" s="2">
        <v>0</v>
      </c>
      <c r="M27" s="2"/>
    </row>
    <row r="28" spans="1:13" x14ac:dyDescent="0.25">
      <c r="A28" s="2" t="s">
        <v>39</v>
      </c>
      <c r="B28" s="2">
        <v>1</v>
      </c>
      <c r="C28" s="3">
        <v>44273</v>
      </c>
      <c r="D28" s="2">
        <v>39.22</v>
      </c>
      <c r="E28" s="3">
        <v>44427</v>
      </c>
      <c r="F28" s="2">
        <v>51.615000000000002</v>
      </c>
      <c r="G28" s="4">
        <v>0.32200000000000001</v>
      </c>
      <c r="H28" s="5">
        <f t="shared" si="0"/>
        <v>2.0495194449748587E-3</v>
      </c>
      <c r="I28" s="2">
        <v>154</v>
      </c>
      <c r="J28" s="2"/>
      <c r="K28" s="2"/>
      <c r="L28" s="2"/>
      <c r="M28" s="2"/>
    </row>
    <row r="29" spans="1:13" x14ac:dyDescent="0.25">
      <c r="A29" s="2" t="s">
        <v>34</v>
      </c>
      <c r="B29" s="2">
        <v>1</v>
      </c>
      <c r="C29" s="3">
        <v>44383</v>
      </c>
      <c r="D29" s="2">
        <v>14.5</v>
      </c>
      <c r="E29" s="3">
        <v>44442</v>
      </c>
      <c r="F29" s="2">
        <v>10.63</v>
      </c>
      <c r="G29" s="4">
        <v>-0.26700000000000002</v>
      </c>
      <c r="H29" s="5">
        <f t="shared" si="0"/>
        <v>-1.6994462478518238E-3</v>
      </c>
      <c r="I29" s="2">
        <v>59</v>
      </c>
      <c r="J29" s="2"/>
      <c r="K29" s="2" t="s">
        <v>12</v>
      </c>
      <c r="L29" s="2">
        <v>0</v>
      </c>
      <c r="M29" s="2"/>
    </row>
    <row r="30" spans="1:13" x14ac:dyDescent="0.25">
      <c r="A30" s="2" t="s">
        <v>40</v>
      </c>
      <c r="B30" s="2">
        <v>1</v>
      </c>
      <c r="C30" s="3">
        <v>44453</v>
      </c>
      <c r="D30" s="2">
        <v>14.44</v>
      </c>
      <c r="E30" s="3">
        <v>44469</v>
      </c>
      <c r="F30" s="2"/>
      <c r="G30" s="4">
        <v>0.15685595567867039</v>
      </c>
      <c r="H30" s="5">
        <f t="shared" si="0"/>
        <v>9.9838301622220352E-4</v>
      </c>
      <c r="I30" s="2">
        <v>16</v>
      </c>
      <c r="J30" s="2"/>
      <c r="K30" s="2"/>
      <c r="L30" s="2"/>
      <c r="M30" s="2"/>
    </row>
    <row r="31" spans="1:13" x14ac:dyDescent="0.25">
      <c r="A31" s="2" t="s">
        <v>36</v>
      </c>
      <c r="B31" s="2">
        <v>1</v>
      </c>
      <c r="C31" s="3">
        <v>44434</v>
      </c>
      <c r="D31" s="2">
        <v>31.63</v>
      </c>
      <c r="E31" s="3">
        <v>44473</v>
      </c>
      <c r="F31" s="2">
        <v>23.72</v>
      </c>
      <c r="G31" s="6">
        <v>-0.25</v>
      </c>
      <c r="H31" s="5">
        <f t="shared" si="0"/>
        <v>-1.5912418051047038E-3</v>
      </c>
      <c r="I31" s="2">
        <v>39</v>
      </c>
      <c r="J31" s="2"/>
      <c r="K31" s="2" t="s">
        <v>12</v>
      </c>
      <c r="L31" s="2">
        <v>0</v>
      </c>
      <c r="M31" s="2"/>
    </row>
    <row r="32" spans="1:13" x14ac:dyDescent="0.25">
      <c r="A32" s="2" t="s">
        <v>41</v>
      </c>
      <c r="B32" s="2">
        <v>1</v>
      </c>
      <c r="C32" s="3">
        <v>44441</v>
      </c>
      <c r="D32" s="2">
        <v>8.2100000000000009</v>
      </c>
      <c r="E32" s="3">
        <v>44477</v>
      </c>
      <c r="F32" s="2"/>
      <c r="G32" s="4">
        <v>0.33617539585870859</v>
      </c>
      <c r="H32" s="5">
        <f t="shared" si="0"/>
        <v>2.1397453749519993E-3</v>
      </c>
      <c r="I32" s="2">
        <v>36</v>
      </c>
      <c r="J32" s="2"/>
      <c r="K32" s="2"/>
      <c r="L32" s="2"/>
      <c r="M32" s="2"/>
    </row>
    <row r="33" spans="1:13" x14ac:dyDescent="0.25">
      <c r="A33" s="2" t="s">
        <v>42</v>
      </c>
      <c r="B33" s="2">
        <v>1</v>
      </c>
      <c r="C33" s="3">
        <v>44419</v>
      </c>
      <c r="D33" s="2">
        <v>23.62</v>
      </c>
      <c r="E33" s="3">
        <v>44480</v>
      </c>
      <c r="F33" s="2">
        <v>17.71</v>
      </c>
      <c r="G33" s="6">
        <v>-0.25</v>
      </c>
      <c r="H33" s="5">
        <f t="shared" si="0"/>
        <v>-1.5912418051047038E-3</v>
      </c>
      <c r="I33" s="2">
        <v>61</v>
      </c>
      <c r="J33" s="2"/>
      <c r="K33" s="2" t="s">
        <v>26</v>
      </c>
      <c r="L33" s="2">
        <v>0</v>
      </c>
      <c r="M33" s="2"/>
    </row>
    <row r="34" spans="1:13" x14ac:dyDescent="0.25">
      <c r="A34" s="2" t="s">
        <v>43</v>
      </c>
      <c r="B34" s="2">
        <v>1</v>
      </c>
      <c r="C34" s="3">
        <v>44476</v>
      </c>
      <c r="D34" s="2">
        <v>8.5</v>
      </c>
      <c r="E34" s="3">
        <v>44482</v>
      </c>
      <c r="F34" s="2"/>
      <c r="G34" s="4">
        <v>0.500294117647059</v>
      </c>
      <c r="H34" s="5">
        <f t="shared" ref="H34:H65" si="1">G34*B34/SUM(B:B)</f>
        <v>3.1843556593918851E-3</v>
      </c>
      <c r="I34" s="2">
        <v>6</v>
      </c>
      <c r="J34" s="2"/>
      <c r="K34" s="2"/>
      <c r="L34" s="2"/>
      <c r="M34" s="2"/>
    </row>
    <row r="35" spans="1:13" x14ac:dyDescent="0.25">
      <c r="A35" s="2" t="s">
        <v>44</v>
      </c>
      <c r="B35" s="2">
        <v>1</v>
      </c>
      <c r="C35" s="3">
        <v>44455</v>
      </c>
      <c r="D35" s="2">
        <v>16.82</v>
      </c>
      <c r="E35" s="3">
        <v>44498</v>
      </c>
      <c r="F35" s="2"/>
      <c r="G35" s="4">
        <v>0.18252080856123665</v>
      </c>
      <c r="H35" s="5">
        <f t="shared" si="1"/>
        <v>1.1617389635366091E-3</v>
      </c>
      <c r="I35" s="2">
        <v>43</v>
      </c>
      <c r="J35" s="2"/>
      <c r="K35" s="2"/>
      <c r="L35" s="2"/>
      <c r="M35" s="2"/>
    </row>
    <row r="36" spans="1:13" x14ac:dyDescent="0.25">
      <c r="A36" s="2" t="s">
        <v>45</v>
      </c>
      <c r="B36" s="2">
        <v>1</v>
      </c>
      <c r="C36" s="3">
        <v>44406</v>
      </c>
      <c r="D36" s="2">
        <v>53.94</v>
      </c>
      <c r="E36" s="3">
        <v>44510</v>
      </c>
      <c r="F36" s="2"/>
      <c r="G36" s="4">
        <v>0.16777901371894699</v>
      </c>
      <c r="H36" s="5">
        <f t="shared" si="1"/>
        <v>1.0679079225952963E-3</v>
      </c>
      <c r="I36" s="2">
        <v>104</v>
      </c>
      <c r="J36" s="2"/>
      <c r="K36" s="2"/>
      <c r="L36" s="2"/>
      <c r="M36" s="2"/>
    </row>
    <row r="37" spans="1:13" x14ac:dyDescent="0.25">
      <c r="A37" s="2" t="s">
        <v>23</v>
      </c>
      <c r="B37" s="2">
        <v>2</v>
      </c>
      <c r="C37" s="3">
        <v>44308</v>
      </c>
      <c r="D37" s="2">
        <v>153.53</v>
      </c>
      <c r="E37" s="3">
        <v>44522</v>
      </c>
      <c r="F37" s="2">
        <v>186.33500000000001</v>
      </c>
      <c r="G37" s="4">
        <v>0.214</v>
      </c>
      <c r="H37" s="5">
        <f t="shared" si="1"/>
        <v>2.7242059703392529E-3</v>
      </c>
      <c r="I37" s="2">
        <v>214</v>
      </c>
      <c r="J37" s="2"/>
      <c r="K37" s="2"/>
      <c r="L37" s="2"/>
      <c r="M37" s="2"/>
    </row>
    <row r="38" spans="1:13" x14ac:dyDescent="0.25">
      <c r="A38" s="2" t="s">
        <v>30</v>
      </c>
      <c r="B38" s="2">
        <v>1</v>
      </c>
      <c r="C38" s="3">
        <v>44364</v>
      </c>
      <c r="D38" s="2">
        <v>8.8000000000000007</v>
      </c>
      <c r="E38" s="3">
        <v>44531</v>
      </c>
      <c r="F38" s="2"/>
      <c r="G38" s="4">
        <v>0.15681818181818175</v>
      </c>
      <c r="H38" s="5">
        <f t="shared" si="1"/>
        <v>9.9814258683840473E-4</v>
      </c>
      <c r="I38" s="2">
        <v>167</v>
      </c>
      <c r="J38" s="2"/>
      <c r="K38" s="2"/>
      <c r="L38" s="2"/>
      <c r="M38" s="2"/>
    </row>
    <row r="39" spans="1:13" x14ac:dyDescent="0.25">
      <c r="A39" s="2" t="s">
        <v>46</v>
      </c>
      <c r="B39" s="2">
        <v>1</v>
      </c>
      <c r="C39" s="3">
        <v>44469</v>
      </c>
      <c r="D39" s="2">
        <v>9.9499999999999993</v>
      </c>
      <c r="E39" s="3">
        <v>44531</v>
      </c>
      <c r="F39" s="2">
        <v>7.45</v>
      </c>
      <c r="G39" s="4">
        <v>-0.251</v>
      </c>
      <c r="H39" s="5">
        <f t="shared" si="1"/>
        <v>-1.5976067723251226E-3</v>
      </c>
      <c r="I39" s="2">
        <v>62</v>
      </c>
      <c r="J39" s="2"/>
      <c r="K39" s="2" t="s">
        <v>26</v>
      </c>
      <c r="L39" s="2">
        <v>0</v>
      </c>
      <c r="M39" s="2"/>
    </row>
    <row r="40" spans="1:13" x14ac:dyDescent="0.25">
      <c r="A40" s="2" t="s">
        <v>47</v>
      </c>
      <c r="B40" s="2">
        <v>1</v>
      </c>
      <c r="C40" s="3">
        <v>44385</v>
      </c>
      <c r="D40" s="2">
        <v>80.099999999999994</v>
      </c>
      <c r="E40" s="3">
        <v>44536</v>
      </c>
      <c r="F40" s="2">
        <v>59.01</v>
      </c>
      <c r="G40" s="4">
        <v>-0.26300000000000001</v>
      </c>
      <c r="H40" s="5">
        <f t="shared" si="1"/>
        <v>-1.6739863789701486E-3</v>
      </c>
      <c r="I40" s="2">
        <v>151</v>
      </c>
      <c r="J40" s="2"/>
      <c r="K40" s="2" t="s">
        <v>26</v>
      </c>
      <c r="L40" s="2">
        <v>0</v>
      </c>
      <c r="M40" s="2"/>
    </row>
    <row r="41" spans="1:13" x14ac:dyDescent="0.25">
      <c r="A41" s="2" t="s">
        <v>48</v>
      </c>
      <c r="B41" s="2">
        <v>1</v>
      </c>
      <c r="C41" s="3">
        <v>44539</v>
      </c>
      <c r="D41" s="2">
        <v>13.99</v>
      </c>
      <c r="E41" s="3">
        <v>44545</v>
      </c>
      <c r="F41" s="2">
        <v>10.48</v>
      </c>
      <c r="G41" s="4">
        <v>-0.251</v>
      </c>
      <c r="H41" s="5">
        <f t="shared" si="1"/>
        <v>-1.5976067723251226E-3</v>
      </c>
      <c r="I41" s="2">
        <v>6</v>
      </c>
      <c r="J41" s="2"/>
      <c r="K41" s="2" t="s">
        <v>12</v>
      </c>
      <c r="L41" s="2">
        <v>0</v>
      </c>
      <c r="M41" s="2"/>
    </row>
    <row r="42" spans="1:13" x14ac:dyDescent="0.25">
      <c r="A42" s="2" t="s">
        <v>49</v>
      </c>
      <c r="B42" s="2">
        <v>1</v>
      </c>
      <c r="C42" s="3">
        <v>44371</v>
      </c>
      <c r="D42" s="2">
        <v>33.75</v>
      </c>
      <c r="E42" s="3">
        <v>44546</v>
      </c>
      <c r="F42" s="2">
        <v>38.72</v>
      </c>
      <c r="G42" s="6">
        <v>0.15</v>
      </c>
      <c r="H42" s="5">
        <f t="shared" si="1"/>
        <v>9.5474508306282225E-4</v>
      </c>
      <c r="I42" s="2">
        <v>175</v>
      </c>
      <c r="J42" s="2"/>
      <c r="K42" s="2" t="s">
        <v>16</v>
      </c>
      <c r="L42" s="2">
        <v>0.09</v>
      </c>
      <c r="M42" s="2"/>
    </row>
    <row r="43" spans="1:13" x14ac:dyDescent="0.25">
      <c r="A43" s="2" t="s">
        <v>50</v>
      </c>
      <c r="B43" s="2">
        <v>1</v>
      </c>
      <c r="C43" s="3">
        <v>44498</v>
      </c>
      <c r="D43" s="2">
        <v>54.99</v>
      </c>
      <c r="E43" s="3">
        <v>44566</v>
      </c>
      <c r="F43" s="2">
        <v>41.23</v>
      </c>
      <c r="G43" s="6">
        <v>-0.25</v>
      </c>
      <c r="H43" s="5">
        <f t="shared" si="1"/>
        <v>-1.5912418051047038E-3</v>
      </c>
      <c r="I43" s="2">
        <v>68</v>
      </c>
      <c r="J43" s="2"/>
      <c r="K43" s="2" t="s">
        <v>26</v>
      </c>
      <c r="L43" s="2">
        <v>0</v>
      </c>
      <c r="M43" s="2"/>
    </row>
    <row r="44" spans="1:13" x14ac:dyDescent="0.25">
      <c r="A44" s="2" t="s">
        <v>53</v>
      </c>
      <c r="B44" s="2">
        <v>1</v>
      </c>
      <c r="C44" s="3">
        <v>44357</v>
      </c>
      <c r="D44" s="2">
        <v>45.06</v>
      </c>
      <c r="E44" s="3">
        <v>44567</v>
      </c>
      <c r="F44" s="2">
        <v>52.65</v>
      </c>
      <c r="G44" s="4">
        <v>0.17199999999999999</v>
      </c>
      <c r="H44" s="5">
        <f t="shared" si="1"/>
        <v>1.0947743619120361E-3</v>
      </c>
      <c r="I44" s="2">
        <v>210</v>
      </c>
      <c r="J44" s="2"/>
      <c r="K44" s="2"/>
      <c r="L44" s="2"/>
      <c r="M44" s="2"/>
    </row>
    <row r="45" spans="1:13" x14ac:dyDescent="0.25">
      <c r="A45" s="2" t="s">
        <v>52</v>
      </c>
      <c r="B45" s="2">
        <v>1</v>
      </c>
      <c r="C45" s="3">
        <v>44413</v>
      </c>
      <c r="D45" s="2">
        <v>208.22</v>
      </c>
      <c r="E45" s="3">
        <v>44567</v>
      </c>
      <c r="F45" s="2">
        <v>219.85</v>
      </c>
      <c r="G45" s="4">
        <v>6.0999999999999999E-2</v>
      </c>
      <c r="H45" s="5">
        <f t="shared" si="1"/>
        <v>3.8826300044554775E-4</v>
      </c>
      <c r="I45" s="2">
        <v>154</v>
      </c>
      <c r="J45" s="2"/>
      <c r="K45" s="2" t="s">
        <v>26</v>
      </c>
      <c r="L45" s="2">
        <v>1.1100000000000001</v>
      </c>
      <c r="M45" s="2"/>
    </row>
    <row r="46" spans="1:13" x14ac:dyDescent="0.25">
      <c r="A46" s="2" t="s">
        <v>51</v>
      </c>
      <c r="B46" s="2">
        <v>1</v>
      </c>
      <c r="C46" s="3">
        <v>44533</v>
      </c>
      <c r="D46" s="2">
        <v>33</v>
      </c>
      <c r="E46" s="3">
        <v>44567</v>
      </c>
      <c r="F46" s="2">
        <v>24.7</v>
      </c>
      <c r="G46" s="4">
        <v>-0.252</v>
      </c>
      <c r="H46" s="5">
        <f t="shared" si="1"/>
        <v>-1.6039717395455416E-3</v>
      </c>
      <c r="I46" s="2">
        <v>34</v>
      </c>
      <c r="J46" s="2"/>
      <c r="K46" s="2" t="s">
        <v>26</v>
      </c>
      <c r="L46" s="2">
        <v>0</v>
      </c>
      <c r="M46" s="2"/>
    </row>
    <row r="47" spans="1:13" x14ac:dyDescent="0.25">
      <c r="A47" s="2" t="s">
        <v>54</v>
      </c>
      <c r="B47" s="2">
        <v>1</v>
      </c>
      <c r="C47" s="3">
        <v>44505</v>
      </c>
      <c r="D47" s="2">
        <v>11.21</v>
      </c>
      <c r="E47" s="3">
        <v>44567</v>
      </c>
      <c r="F47" s="2">
        <v>7.84</v>
      </c>
      <c r="G47" s="4">
        <v>-0.30099999999999999</v>
      </c>
      <c r="H47" s="5">
        <f t="shared" si="1"/>
        <v>-1.9158551333460633E-3</v>
      </c>
      <c r="I47" s="2">
        <v>62</v>
      </c>
      <c r="J47" s="2"/>
      <c r="K47" s="2" t="s">
        <v>12</v>
      </c>
      <c r="L47" s="2">
        <v>0</v>
      </c>
      <c r="M47" s="2"/>
    </row>
    <row r="48" spans="1:13" x14ac:dyDescent="0.25">
      <c r="A48" s="2" t="s">
        <v>28</v>
      </c>
      <c r="B48" s="2">
        <v>1</v>
      </c>
      <c r="C48" s="3">
        <v>44427</v>
      </c>
      <c r="D48" s="2">
        <v>12.75</v>
      </c>
      <c r="E48" s="3">
        <v>44574</v>
      </c>
      <c r="F48" s="2"/>
      <c r="G48" s="4">
        <v>0.50372549019607837</v>
      </c>
      <c r="H48" s="5">
        <f t="shared" si="1"/>
        <v>3.2061962331874382E-3</v>
      </c>
      <c r="I48" s="2">
        <v>147</v>
      </c>
      <c r="J48" s="2"/>
      <c r="K48" s="2"/>
      <c r="L48" s="2"/>
      <c r="M48" s="2"/>
    </row>
    <row r="49" spans="1:13" x14ac:dyDescent="0.25">
      <c r="A49" s="2" t="s">
        <v>55</v>
      </c>
      <c r="B49" s="2">
        <v>1</v>
      </c>
      <c r="C49" s="3">
        <v>44392</v>
      </c>
      <c r="D49" s="2">
        <v>21.32</v>
      </c>
      <c r="E49" s="3">
        <v>44588</v>
      </c>
      <c r="F49" s="2">
        <v>15.98</v>
      </c>
      <c r="G49" s="6">
        <v>-0.25</v>
      </c>
      <c r="H49" s="5">
        <f t="shared" si="1"/>
        <v>-1.5912418051047038E-3</v>
      </c>
      <c r="I49" s="2">
        <v>196</v>
      </c>
      <c r="J49" s="2"/>
      <c r="K49" s="2" t="s">
        <v>12</v>
      </c>
      <c r="L49" s="2">
        <v>0</v>
      </c>
      <c r="M49" s="2"/>
    </row>
    <row r="50" spans="1:13" x14ac:dyDescent="0.25">
      <c r="A50" s="2" t="s">
        <v>56</v>
      </c>
      <c r="B50" s="2">
        <v>1</v>
      </c>
      <c r="C50" s="3">
        <v>44581</v>
      </c>
      <c r="D50" s="2">
        <v>8.6199999999999992</v>
      </c>
      <c r="E50" s="3">
        <v>44609</v>
      </c>
      <c r="F50" s="2">
        <v>6.46</v>
      </c>
      <c r="G50" s="4">
        <v>-0.251</v>
      </c>
      <c r="H50" s="5">
        <f t="shared" si="1"/>
        <v>-1.5976067723251226E-3</v>
      </c>
      <c r="I50" s="2">
        <v>28</v>
      </c>
      <c r="J50" s="2"/>
      <c r="K50" s="2" t="s">
        <v>26</v>
      </c>
      <c r="L50" s="2">
        <v>0</v>
      </c>
      <c r="M50" s="2"/>
    </row>
    <row r="51" spans="1:13" x14ac:dyDescent="0.25">
      <c r="A51" s="2" t="s">
        <v>57</v>
      </c>
      <c r="B51" s="2">
        <v>1</v>
      </c>
      <c r="C51" s="3">
        <v>44602</v>
      </c>
      <c r="D51" s="2">
        <v>121.54</v>
      </c>
      <c r="E51" s="3">
        <v>44616</v>
      </c>
      <c r="F51" s="2">
        <v>94.94</v>
      </c>
      <c r="G51" s="4">
        <v>-0.219</v>
      </c>
      <c r="H51" s="5">
        <f t="shared" si="1"/>
        <v>-1.3939278212717207E-3</v>
      </c>
      <c r="I51" s="2">
        <v>14</v>
      </c>
      <c r="J51" s="2"/>
      <c r="K51" s="2" t="s">
        <v>12</v>
      </c>
      <c r="L51" s="2">
        <v>0</v>
      </c>
      <c r="M51" s="2"/>
    </row>
    <row r="52" spans="1:13" x14ac:dyDescent="0.25">
      <c r="A52" s="2" t="s">
        <v>58</v>
      </c>
      <c r="B52" s="2">
        <v>1</v>
      </c>
      <c r="C52" s="3">
        <v>44511</v>
      </c>
      <c r="D52" s="2">
        <v>32.869999999999997</v>
      </c>
      <c r="E52" s="3">
        <v>44621</v>
      </c>
      <c r="F52" s="2">
        <v>24.64</v>
      </c>
      <c r="G52" s="6">
        <v>-0.25</v>
      </c>
      <c r="H52" s="5">
        <f t="shared" si="1"/>
        <v>-1.5912418051047038E-3</v>
      </c>
      <c r="I52" s="2">
        <v>110</v>
      </c>
      <c r="J52" s="2"/>
      <c r="K52" s="2" t="s">
        <v>26</v>
      </c>
      <c r="L52" s="2">
        <v>0</v>
      </c>
      <c r="M52" s="2"/>
    </row>
    <row r="53" spans="1:13" x14ac:dyDescent="0.25">
      <c r="A53" s="2" t="s">
        <v>40</v>
      </c>
      <c r="B53" s="2">
        <v>0.5</v>
      </c>
      <c r="C53" s="3">
        <v>44616</v>
      </c>
      <c r="D53" s="2">
        <v>4.43</v>
      </c>
      <c r="E53" s="3">
        <v>44623</v>
      </c>
      <c r="F53" s="2"/>
      <c r="G53" s="4">
        <v>0.30135440180586937</v>
      </c>
      <c r="H53" s="5">
        <f t="shared" si="1"/>
        <v>9.590554446116396E-4</v>
      </c>
      <c r="I53" s="2">
        <v>7</v>
      </c>
      <c r="J53" s="2"/>
      <c r="K53" s="2"/>
      <c r="L53" s="2"/>
      <c r="M53" s="2"/>
    </row>
    <row r="54" spans="1:13" x14ac:dyDescent="0.25">
      <c r="A54" s="2" t="s">
        <v>59</v>
      </c>
      <c r="B54" s="2">
        <v>1</v>
      </c>
      <c r="C54" s="3">
        <v>44522</v>
      </c>
      <c r="D54" s="2">
        <v>39.18</v>
      </c>
      <c r="E54" s="3">
        <v>44624</v>
      </c>
      <c r="F54" s="2">
        <v>29.38</v>
      </c>
      <c r="G54" s="6">
        <v>-0.25</v>
      </c>
      <c r="H54" s="5">
        <f t="shared" si="1"/>
        <v>-1.5912418051047038E-3</v>
      </c>
      <c r="I54" s="2">
        <v>102</v>
      </c>
      <c r="J54" s="2"/>
      <c r="K54" s="2"/>
      <c r="L54" s="2"/>
      <c r="M54" s="2"/>
    </row>
    <row r="55" spans="1:13" x14ac:dyDescent="0.25">
      <c r="A55" s="2" t="s">
        <v>60</v>
      </c>
      <c r="B55" s="2">
        <v>1</v>
      </c>
      <c r="C55" s="3">
        <v>44427</v>
      </c>
      <c r="D55" s="2">
        <v>-2.2999999999999998</v>
      </c>
      <c r="E55" s="3">
        <v>44627</v>
      </c>
      <c r="F55" s="2">
        <v>2.81</v>
      </c>
      <c r="G55" s="4">
        <v>0.222</v>
      </c>
      <c r="H55" s="5">
        <f t="shared" si="1"/>
        <v>1.413022722932977E-3</v>
      </c>
      <c r="I55" s="2">
        <v>200</v>
      </c>
      <c r="J55" s="2"/>
      <c r="K55" s="2"/>
      <c r="L55" s="2"/>
      <c r="M55" s="2"/>
    </row>
    <row r="56" spans="1:13" x14ac:dyDescent="0.25">
      <c r="A56" s="2" t="s">
        <v>24</v>
      </c>
      <c r="B56" s="2">
        <v>2</v>
      </c>
      <c r="C56" s="3">
        <v>44580</v>
      </c>
      <c r="D56" s="2">
        <v>18.32</v>
      </c>
      <c r="E56" s="3">
        <v>44628</v>
      </c>
      <c r="F56" s="2"/>
      <c r="G56" s="4">
        <v>0.32232532751091703</v>
      </c>
      <c r="H56" s="5">
        <f t="shared" si="1"/>
        <v>4.1031802878354921E-3</v>
      </c>
      <c r="I56" s="2">
        <v>48</v>
      </c>
      <c r="J56" s="2"/>
      <c r="K56" s="2"/>
      <c r="L56" s="2"/>
      <c r="M56" s="2"/>
    </row>
    <row r="57" spans="1:13" x14ac:dyDescent="0.25">
      <c r="A57" s="2" t="s">
        <v>61</v>
      </c>
      <c r="B57" s="2">
        <v>1</v>
      </c>
      <c r="C57" s="3">
        <v>44351</v>
      </c>
      <c r="D57" s="2">
        <v>19</v>
      </c>
      <c r="E57" s="3">
        <v>44656</v>
      </c>
      <c r="F57" s="2">
        <v>14.25</v>
      </c>
      <c r="G57" s="4">
        <v>-0.22600000000000001</v>
      </c>
      <c r="H57" s="5">
        <f t="shared" si="1"/>
        <v>-1.4384825918146522E-3</v>
      </c>
      <c r="I57" s="2">
        <v>305</v>
      </c>
      <c r="J57" s="2"/>
      <c r="K57" s="2" t="s">
        <v>12</v>
      </c>
      <c r="L57" s="2">
        <v>0.45</v>
      </c>
      <c r="M57" s="2"/>
    </row>
    <row r="58" spans="1:13" x14ac:dyDescent="0.25">
      <c r="A58" s="2" t="s">
        <v>62</v>
      </c>
      <c r="B58" s="2">
        <v>0.1</v>
      </c>
      <c r="C58" s="3">
        <v>44140</v>
      </c>
      <c r="D58" s="2">
        <v>74.599999999999994</v>
      </c>
      <c r="E58" s="3">
        <v>44657</v>
      </c>
      <c r="F58" s="2">
        <v>43.85</v>
      </c>
      <c r="G58" s="4">
        <v>-0.41199999999999998</v>
      </c>
      <c r="H58" s="5">
        <f t="shared" si="1"/>
        <v>-2.6223664948125518E-4</v>
      </c>
      <c r="I58" s="2">
        <v>517</v>
      </c>
      <c r="J58" s="2"/>
      <c r="K58" s="2" t="s">
        <v>16</v>
      </c>
      <c r="L58" s="2">
        <v>0</v>
      </c>
      <c r="M58" s="2"/>
    </row>
    <row r="59" spans="1:13" x14ac:dyDescent="0.25">
      <c r="A59" s="2" t="s">
        <v>63</v>
      </c>
      <c r="B59" s="2">
        <v>1</v>
      </c>
      <c r="C59" s="3">
        <v>44658</v>
      </c>
      <c r="D59" s="2">
        <v>46.42</v>
      </c>
      <c r="E59" s="3">
        <v>44672</v>
      </c>
      <c r="F59" s="2">
        <v>34.81</v>
      </c>
      <c r="G59" s="6">
        <v>-0.25</v>
      </c>
      <c r="H59" s="5">
        <f t="shared" si="1"/>
        <v>-1.5912418051047038E-3</v>
      </c>
      <c r="I59" s="2">
        <v>14</v>
      </c>
      <c r="J59" s="2"/>
      <c r="K59" s="2" t="s">
        <v>26</v>
      </c>
      <c r="L59" s="2">
        <v>0</v>
      </c>
      <c r="M59" s="2"/>
    </row>
    <row r="60" spans="1:13" x14ac:dyDescent="0.25">
      <c r="A60" s="2" t="s">
        <v>40</v>
      </c>
      <c r="B60" s="2">
        <v>2</v>
      </c>
      <c r="C60" s="3">
        <v>44630</v>
      </c>
      <c r="D60" s="2">
        <v>8.69</v>
      </c>
      <c r="E60" s="3">
        <v>44672</v>
      </c>
      <c r="F60" s="2">
        <v>6.08</v>
      </c>
      <c r="G60" s="6">
        <v>-0.3</v>
      </c>
      <c r="H60" s="5">
        <f t="shared" si="1"/>
        <v>-3.818980332251289E-3</v>
      </c>
      <c r="I60" s="2">
        <v>42</v>
      </c>
      <c r="J60" s="2"/>
      <c r="K60" s="2" t="s">
        <v>12</v>
      </c>
      <c r="L60" s="2">
        <v>0</v>
      </c>
      <c r="M60" s="2"/>
    </row>
    <row r="61" spans="1:13" x14ac:dyDescent="0.25">
      <c r="A61" s="2" t="s">
        <v>64</v>
      </c>
      <c r="B61" s="2">
        <v>1.58</v>
      </c>
      <c r="C61" s="3">
        <v>44601</v>
      </c>
      <c r="D61" s="2">
        <v>49.47</v>
      </c>
      <c r="E61" s="3">
        <v>44676</v>
      </c>
      <c r="F61" s="2">
        <v>59.454999999999998</v>
      </c>
      <c r="G61" s="6">
        <v>0.21</v>
      </c>
      <c r="H61" s="5">
        <f t="shared" si="1"/>
        <v>2.1118961237349631E-3</v>
      </c>
      <c r="I61" s="2">
        <v>75</v>
      </c>
      <c r="J61" s="2"/>
      <c r="K61" s="2"/>
      <c r="L61" s="2"/>
      <c r="M61" s="2"/>
    </row>
    <row r="62" spans="1:13" x14ac:dyDescent="0.25">
      <c r="A62" s="2" t="s">
        <v>65</v>
      </c>
      <c r="B62" s="2">
        <v>1</v>
      </c>
      <c r="C62" s="3">
        <v>44672</v>
      </c>
      <c r="D62" s="2">
        <v>3.73</v>
      </c>
      <c r="E62" s="3">
        <v>44676</v>
      </c>
      <c r="F62" s="2"/>
      <c r="G62" s="4">
        <v>0.17158176943699743</v>
      </c>
      <c r="H62" s="5">
        <f t="shared" si="1"/>
        <v>1.0921123380879475E-3</v>
      </c>
      <c r="I62" s="2">
        <v>4</v>
      </c>
      <c r="J62" s="2"/>
      <c r="K62" s="2"/>
      <c r="L62" s="2"/>
      <c r="M62" s="2"/>
    </row>
    <row r="63" spans="1:13" x14ac:dyDescent="0.25">
      <c r="A63" s="2" t="s">
        <v>39</v>
      </c>
      <c r="B63" s="2">
        <v>2</v>
      </c>
      <c r="C63" s="3">
        <v>44483</v>
      </c>
      <c r="D63" s="2">
        <v>48.38</v>
      </c>
      <c r="E63" s="3">
        <v>44679</v>
      </c>
      <c r="F63" s="2">
        <v>36.28</v>
      </c>
      <c r="G63" s="4">
        <v>-0.245</v>
      </c>
      <c r="H63" s="5">
        <f t="shared" si="1"/>
        <v>-3.1188339380052196E-3</v>
      </c>
      <c r="I63" s="2">
        <v>196</v>
      </c>
      <c r="J63" s="2"/>
      <c r="K63" s="2" t="s">
        <v>12</v>
      </c>
      <c r="L63" s="2">
        <v>0.54</v>
      </c>
      <c r="M63" s="2"/>
    </row>
    <row r="64" spans="1:13" x14ac:dyDescent="0.25">
      <c r="A64" s="2" t="s">
        <v>66</v>
      </c>
      <c r="B64" s="2">
        <v>1</v>
      </c>
      <c r="C64" s="3">
        <v>44575</v>
      </c>
      <c r="D64" s="2">
        <v>18.100000000000001</v>
      </c>
      <c r="E64" s="3">
        <v>44680</v>
      </c>
      <c r="F64" s="2"/>
      <c r="G64" s="4">
        <v>0.13425414364640886</v>
      </c>
      <c r="H64" s="5">
        <f t="shared" si="1"/>
        <v>8.5452322351479136E-4</v>
      </c>
      <c r="I64" s="2">
        <v>105</v>
      </c>
      <c r="J64" s="2"/>
      <c r="K64" s="2"/>
      <c r="L64" s="2"/>
      <c r="M64" s="2"/>
    </row>
    <row r="65" spans="1:13" x14ac:dyDescent="0.25">
      <c r="A65" s="2" t="s">
        <v>67</v>
      </c>
      <c r="B65" s="2">
        <v>1</v>
      </c>
      <c r="C65" s="3">
        <v>44637</v>
      </c>
      <c r="D65" s="2">
        <v>20.2</v>
      </c>
      <c r="E65" s="3">
        <v>44692</v>
      </c>
      <c r="F65" s="2">
        <v>15.15</v>
      </c>
      <c r="G65" s="6">
        <v>-0.25</v>
      </c>
      <c r="H65" s="5">
        <f t="shared" si="1"/>
        <v>-1.5912418051047038E-3</v>
      </c>
      <c r="I65" s="2">
        <v>55</v>
      </c>
      <c r="J65" s="2"/>
      <c r="K65" s="2" t="s">
        <v>16</v>
      </c>
      <c r="L65" s="2">
        <v>0</v>
      </c>
      <c r="M65" s="2"/>
    </row>
    <row r="66" spans="1:13" x14ac:dyDescent="0.25">
      <c r="A66" s="2" t="s">
        <v>69</v>
      </c>
      <c r="B66" s="2">
        <v>2</v>
      </c>
      <c r="C66" s="3">
        <v>44595</v>
      </c>
      <c r="D66" s="2">
        <v>91.84</v>
      </c>
      <c r="E66" s="3">
        <v>44693</v>
      </c>
      <c r="F66" s="2">
        <v>68.83</v>
      </c>
      <c r="G66" s="4">
        <v>-0.245</v>
      </c>
      <c r="H66" s="5">
        <f t="shared" ref="H66:H97" si="2">G66*B66/SUM(B:B)</f>
        <v>-3.1188339380052196E-3</v>
      </c>
      <c r="I66" s="2">
        <v>98</v>
      </c>
      <c r="J66" s="2"/>
      <c r="K66" s="2" t="s">
        <v>26</v>
      </c>
      <c r="L66" s="2">
        <v>0.98</v>
      </c>
      <c r="M66" s="2"/>
    </row>
    <row r="67" spans="1:13" x14ac:dyDescent="0.25">
      <c r="A67" s="2" t="s">
        <v>68</v>
      </c>
      <c r="B67" s="2">
        <v>2</v>
      </c>
      <c r="C67" s="3">
        <v>44546</v>
      </c>
      <c r="D67" s="2">
        <v>60.71</v>
      </c>
      <c r="E67" s="3">
        <v>44693</v>
      </c>
      <c r="F67" s="2">
        <v>45.53</v>
      </c>
      <c r="G67" s="4">
        <v>-0.246</v>
      </c>
      <c r="H67" s="5">
        <f t="shared" si="2"/>
        <v>-3.1315638724460572E-3</v>
      </c>
      <c r="I67" s="2">
        <v>147</v>
      </c>
      <c r="J67" s="2"/>
      <c r="K67" s="2" t="s">
        <v>26</v>
      </c>
      <c r="L67" s="2">
        <v>0.44</v>
      </c>
      <c r="M67" s="2"/>
    </row>
    <row r="68" spans="1:13" x14ac:dyDescent="0.25">
      <c r="A68" s="2" t="s">
        <v>53</v>
      </c>
      <c r="B68" s="2">
        <v>1</v>
      </c>
      <c r="C68" s="3">
        <v>44644</v>
      </c>
      <c r="D68" s="2">
        <v>52.47</v>
      </c>
      <c r="E68" s="3">
        <v>44693</v>
      </c>
      <c r="F68" s="2">
        <v>39.270000000000003</v>
      </c>
      <c r="G68" s="4">
        <v>-0.251</v>
      </c>
      <c r="H68" s="5">
        <f t="shared" si="2"/>
        <v>-1.5976067723251226E-3</v>
      </c>
      <c r="I68" s="2">
        <v>49</v>
      </c>
      <c r="J68" s="2"/>
      <c r="K68" s="2" t="s">
        <v>26</v>
      </c>
      <c r="L68" s="2">
        <v>0.02</v>
      </c>
      <c r="M68" s="2"/>
    </row>
    <row r="69" spans="1:13" x14ac:dyDescent="0.25">
      <c r="A69" s="2" t="s">
        <v>70</v>
      </c>
      <c r="B69" s="2">
        <v>2</v>
      </c>
      <c r="C69" s="3">
        <v>44567</v>
      </c>
      <c r="D69" s="2">
        <v>225.75</v>
      </c>
      <c r="E69" s="3">
        <v>44699</v>
      </c>
      <c r="F69" s="2">
        <v>163.07</v>
      </c>
      <c r="G69" s="6">
        <v>-0.27</v>
      </c>
      <c r="H69" s="5">
        <f t="shared" si="2"/>
        <v>-3.4370822990261608E-3</v>
      </c>
      <c r="I69" s="2">
        <v>132</v>
      </c>
      <c r="J69" s="2"/>
      <c r="K69" s="2" t="s">
        <v>26</v>
      </c>
      <c r="L69" s="2">
        <v>3.6</v>
      </c>
      <c r="M69" s="2"/>
    </row>
    <row r="70" spans="1:13" x14ac:dyDescent="0.25">
      <c r="A70" s="2" t="s">
        <v>71</v>
      </c>
      <c r="B70" s="2">
        <v>1</v>
      </c>
      <c r="C70" s="3">
        <v>44693</v>
      </c>
      <c r="D70" s="2">
        <v>200</v>
      </c>
      <c r="E70" s="3">
        <v>44725</v>
      </c>
      <c r="F70" s="2"/>
      <c r="G70" s="4">
        <v>0.25017500000000004</v>
      </c>
      <c r="H70" s="5">
        <f t="shared" si="2"/>
        <v>1.5923556743682773E-3</v>
      </c>
      <c r="I70" s="2">
        <v>32</v>
      </c>
      <c r="J70" s="2"/>
      <c r="K70" s="2"/>
      <c r="L70" s="2"/>
      <c r="M70" s="2"/>
    </row>
    <row r="71" spans="1:13" x14ac:dyDescent="0.25">
      <c r="A71" s="2" t="s">
        <v>72</v>
      </c>
      <c r="B71" s="2">
        <v>1</v>
      </c>
      <c r="C71" s="3">
        <v>44504</v>
      </c>
      <c r="D71" s="2">
        <v>49.99</v>
      </c>
      <c r="E71" s="3">
        <v>44728</v>
      </c>
      <c r="F71" s="2">
        <v>37.51</v>
      </c>
      <c r="G71" s="4">
        <v>-0.23499999999999999</v>
      </c>
      <c r="H71" s="5">
        <f t="shared" si="2"/>
        <v>-1.4957672967984216E-3</v>
      </c>
      <c r="I71" s="2">
        <v>224</v>
      </c>
      <c r="J71" s="2"/>
      <c r="K71" s="2" t="s">
        <v>12</v>
      </c>
      <c r="L71" s="2">
        <v>0.73</v>
      </c>
      <c r="M71" s="2"/>
    </row>
    <row r="72" spans="1:13" x14ac:dyDescent="0.25">
      <c r="A72" s="2" t="s">
        <v>73</v>
      </c>
      <c r="B72" s="2">
        <v>1</v>
      </c>
      <c r="C72" s="3">
        <v>44609</v>
      </c>
      <c r="D72" s="2">
        <v>99.56</v>
      </c>
      <c r="E72" s="3">
        <v>44729</v>
      </c>
      <c r="F72" s="2">
        <v>74.760000000000005</v>
      </c>
      <c r="G72" s="4">
        <v>-0.246</v>
      </c>
      <c r="H72" s="5">
        <f t="shared" si="2"/>
        <v>-1.5657819362230286E-3</v>
      </c>
      <c r="I72" s="2">
        <v>120</v>
      </c>
      <c r="J72" s="2"/>
      <c r="K72" s="2" t="s">
        <v>26</v>
      </c>
      <c r="L72" s="2">
        <v>0.35</v>
      </c>
      <c r="M72" s="2"/>
    </row>
    <row r="73" spans="1:13" x14ac:dyDescent="0.25">
      <c r="A73" s="2" t="s">
        <v>74</v>
      </c>
      <c r="B73" s="2">
        <v>1</v>
      </c>
      <c r="C73" s="3">
        <v>44678</v>
      </c>
      <c r="D73" s="2">
        <v>19.96</v>
      </c>
      <c r="E73" s="3">
        <v>44734</v>
      </c>
      <c r="F73" s="2">
        <v>14.96</v>
      </c>
      <c r="G73" s="4">
        <v>-0.251</v>
      </c>
      <c r="H73" s="5">
        <f t="shared" si="2"/>
        <v>-1.5976067723251226E-3</v>
      </c>
      <c r="I73" s="2">
        <v>56</v>
      </c>
      <c r="J73" s="2"/>
      <c r="K73" s="2" t="s">
        <v>12</v>
      </c>
      <c r="L73" s="2">
        <v>0</v>
      </c>
      <c r="M73" s="2"/>
    </row>
    <row r="74" spans="1:13" x14ac:dyDescent="0.25">
      <c r="A74" s="2" t="s">
        <v>75</v>
      </c>
      <c r="B74" s="2">
        <v>1</v>
      </c>
      <c r="C74" s="3">
        <v>44182</v>
      </c>
      <c r="D74" s="2">
        <v>125.95</v>
      </c>
      <c r="E74" s="3">
        <v>44761</v>
      </c>
      <c r="F74" s="2">
        <v>131.58000000000001</v>
      </c>
      <c r="G74" s="4">
        <v>0.123</v>
      </c>
      <c r="H74" s="5">
        <f t="shared" si="2"/>
        <v>7.828909681115143E-4</v>
      </c>
      <c r="I74" s="2">
        <v>579</v>
      </c>
      <c r="J74" s="2"/>
      <c r="K74" s="2" t="s">
        <v>12</v>
      </c>
      <c r="L74" s="2">
        <v>9.84</v>
      </c>
      <c r="M74" s="2"/>
    </row>
    <row r="75" spans="1:13" x14ac:dyDescent="0.25">
      <c r="A75" s="2" t="s">
        <v>76</v>
      </c>
      <c r="B75" s="2">
        <v>1</v>
      </c>
      <c r="C75" s="3">
        <v>44728</v>
      </c>
      <c r="D75" s="2">
        <v>62.07</v>
      </c>
      <c r="E75" s="3">
        <v>44769</v>
      </c>
      <c r="F75" s="2">
        <v>46.55</v>
      </c>
      <c r="G75" s="6">
        <v>-0.25</v>
      </c>
      <c r="H75" s="5">
        <f t="shared" si="2"/>
        <v>-1.5912418051047038E-3</v>
      </c>
      <c r="I75" s="2">
        <v>41</v>
      </c>
      <c r="J75" s="2"/>
      <c r="K75" s="2" t="s">
        <v>26</v>
      </c>
      <c r="L75" s="2">
        <v>0</v>
      </c>
      <c r="M75" s="2"/>
    </row>
    <row r="76" spans="1:13" x14ac:dyDescent="0.25">
      <c r="A76" s="2" t="s">
        <v>77</v>
      </c>
      <c r="B76" s="2">
        <v>0.5</v>
      </c>
      <c r="C76" s="3">
        <v>44735</v>
      </c>
      <c r="D76" s="2">
        <v>156.27000000000001</v>
      </c>
      <c r="E76" s="3">
        <v>44791</v>
      </c>
      <c r="F76" s="2">
        <v>174.34</v>
      </c>
      <c r="G76" s="4">
        <v>0.11600000000000001</v>
      </c>
      <c r="H76" s="5">
        <f t="shared" si="2"/>
        <v>3.6916809878429131E-4</v>
      </c>
      <c r="I76" s="2">
        <v>56</v>
      </c>
      <c r="J76" s="2"/>
      <c r="K76" s="2" t="s">
        <v>12</v>
      </c>
      <c r="L76" s="2">
        <v>0</v>
      </c>
      <c r="M76" s="2"/>
    </row>
    <row r="77" spans="1:13" x14ac:dyDescent="0.25">
      <c r="A77" s="2" t="s">
        <v>78</v>
      </c>
      <c r="B77" s="2">
        <v>1</v>
      </c>
      <c r="C77" s="3">
        <v>44756</v>
      </c>
      <c r="D77" s="2">
        <v>21.04</v>
      </c>
      <c r="E77" s="3">
        <v>44792</v>
      </c>
      <c r="F77" s="2"/>
      <c r="G77" s="4">
        <v>0.16207224334600778</v>
      </c>
      <c r="H77" s="5">
        <f t="shared" si="2"/>
        <v>1.031584516237081E-3</v>
      </c>
      <c r="I77" s="2">
        <v>36</v>
      </c>
      <c r="J77" s="2"/>
      <c r="K77" s="2"/>
      <c r="L77" s="2"/>
      <c r="M77" s="2"/>
    </row>
    <row r="78" spans="1:13" x14ac:dyDescent="0.25">
      <c r="A78" s="2" t="s">
        <v>81</v>
      </c>
      <c r="B78" s="2">
        <v>1</v>
      </c>
      <c r="C78" s="3">
        <v>44742</v>
      </c>
      <c r="D78" s="2">
        <v>18.02</v>
      </c>
      <c r="E78" s="3">
        <v>44798</v>
      </c>
      <c r="F78" s="2"/>
      <c r="G78" s="4">
        <v>0.30049944506104342</v>
      </c>
      <c r="H78" s="5">
        <f t="shared" si="2"/>
        <v>1.9126691175675862E-3</v>
      </c>
      <c r="I78" s="2">
        <v>56</v>
      </c>
      <c r="J78" s="2"/>
      <c r="K78" s="2"/>
      <c r="L78" s="2"/>
      <c r="M78" s="2"/>
    </row>
    <row r="79" spans="1:13" x14ac:dyDescent="0.25">
      <c r="A79" s="2" t="s">
        <v>80</v>
      </c>
      <c r="B79" s="2">
        <v>1</v>
      </c>
      <c r="C79" s="3">
        <v>44749</v>
      </c>
      <c r="D79" s="2">
        <v>202.75</v>
      </c>
      <c r="E79" s="3">
        <v>44798</v>
      </c>
      <c r="F79" s="2">
        <v>225.55</v>
      </c>
      <c r="G79" s="4">
        <v>0.11600000000000001</v>
      </c>
      <c r="H79" s="5">
        <f t="shared" si="2"/>
        <v>7.3833619756858261E-4</v>
      </c>
      <c r="I79" s="2">
        <v>49</v>
      </c>
      <c r="J79" s="2"/>
      <c r="K79" s="2" t="s">
        <v>26</v>
      </c>
      <c r="L79" s="2">
        <v>0.7</v>
      </c>
      <c r="M79" s="2"/>
    </row>
    <row r="80" spans="1:13" x14ac:dyDescent="0.25">
      <c r="A80" s="2" t="s">
        <v>79</v>
      </c>
      <c r="B80" s="2">
        <v>1</v>
      </c>
      <c r="C80" s="3">
        <v>44700</v>
      </c>
      <c r="D80" s="2">
        <v>144.07</v>
      </c>
      <c r="E80" s="3">
        <v>44798</v>
      </c>
      <c r="F80" s="2">
        <v>154.91</v>
      </c>
      <c r="G80" s="6">
        <v>0.08</v>
      </c>
      <c r="H80" s="5">
        <f t="shared" si="2"/>
        <v>5.0919737763350527E-4</v>
      </c>
      <c r="I80" s="2">
        <v>98</v>
      </c>
      <c r="J80" s="2"/>
      <c r="K80" s="2" t="s">
        <v>26</v>
      </c>
      <c r="L80" s="2">
        <v>0.66</v>
      </c>
      <c r="M80" s="2"/>
    </row>
    <row r="81" spans="1:13" x14ac:dyDescent="0.25">
      <c r="A81" s="2" t="s">
        <v>82</v>
      </c>
      <c r="B81" s="2">
        <v>1</v>
      </c>
      <c r="C81" s="3">
        <v>44777</v>
      </c>
      <c r="D81" s="2">
        <v>41.95</v>
      </c>
      <c r="E81" s="3">
        <v>44803</v>
      </c>
      <c r="F81" s="2">
        <v>31.46</v>
      </c>
      <c r="G81" s="6">
        <v>-0.25</v>
      </c>
      <c r="H81" s="5">
        <f t="shared" si="2"/>
        <v>-1.5912418051047038E-3</v>
      </c>
      <c r="I81" s="2">
        <v>26</v>
      </c>
      <c r="J81" s="2"/>
      <c r="K81" s="2" t="s">
        <v>26</v>
      </c>
      <c r="L81" s="2">
        <v>0</v>
      </c>
      <c r="M81" s="2"/>
    </row>
    <row r="82" spans="1:13" x14ac:dyDescent="0.25">
      <c r="A82" s="2" t="s">
        <v>83</v>
      </c>
      <c r="B82" s="2">
        <v>1</v>
      </c>
      <c r="C82" s="3">
        <v>44791</v>
      </c>
      <c r="D82" s="2">
        <v>4.99</v>
      </c>
      <c r="E82" s="3">
        <v>44824</v>
      </c>
      <c r="F82" s="2">
        <v>3.74</v>
      </c>
      <c r="G82" s="4">
        <v>-0.251</v>
      </c>
      <c r="H82" s="5">
        <f t="shared" si="2"/>
        <v>-1.5976067723251226E-3</v>
      </c>
      <c r="I82" s="2">
        <v>33</v>
      </c>
      <c r="J82" s="2"/>
      <c r="K82" s="2" t="s">
        <v>26</v>
      </c>
      <c r="L82" s="2">
        <v>0</v>
      </c>
      <c r="M82" s="2"/>
    </row>
    <row r="83" spans="1:13" x14ac:dyDescent="0.25">
      <c r="A83" s="2" t="s">
        <v>66</v>
      </c>
      <c r="B83" s="2">
        <v>1</v>
      </c>
      <c r="C83" s="3">
        <v>44721</v>
      </c>
      <c r="D83" s="2">
        <v>15.99</v>
      </c>
      <c r="E83" s="3">
        <v>44827</v>
      </c>
      <c r="F83" s="2">
        <v>11.99</v>
      </c>
      <c r="G83" s="6">
        <v>-0.25</v>
      </c>
      <c r="H83" s="5">
        <f t="shared" si="2"/>
        <v>-1.5912418051047038E-3</v>
      </c>
      <c r="I83" s="2">
        <v>106</v>
      </c>
      <c r="J83" s="2"/>
      <c r="K83" s="2" t="s">
        <v>12</v>
      </c>
      <c r="L83" s="2">
        <v>0</v>
      </c>
      <c r="M83" s="2"/>
    </row>
    <row r="84" spans="1:13" x14ac:dyDescent="0.25">
      <c r="A84" s="2" t="s">
        <v>84</v>
      </c>
      <c r="B84" s="2">
        <v>1</v>
      </c>
      <c r="C84" s="3">
        <v>44728</v>
      </c>
      <c r="D84" s="2">
        <v>99.37</v>
      </c>
      <c r="E84" s="3">
        <v>44830</v>
      </c>
      <c r="F84" s="2">
        <v>74.53</v>
      </c>
      <c r="G84" s="6">
        <v>-0.24</v>
      </c>
      <c r="H84" s="5">
        <f t="shared" si="2"/>
        <v>-1.5275921329005156E-3</v>
      </c>
      <c r="I84" s="2">
        <v>102</v>
      </c>
      <c r="J84" s="2"/>
      <c r="K84" s="2" t="s">
        <v>26</v>
      </c>
      <c r="L84" s="2">
        <v>0.97</v>
      </c>
      <c r="M84" s="2"/>
    </row>
    <row r="85" spans="1:13" x14ac:dyDescent="0.25">
      <c r="A85" s="2" t="s">
        <v>85</v>
      </c>
      <c r="B85" s="2">
        <v>2</v>
      </c>
      <c r="C85" s="3">
        <v>44581</v>
      </c>
      <c r="D85" s="2">
        <v>81.44</v>
      </c>
      <c r="E85" s="3">
        <v>44833</v>
      </c>
      <c r="F85" s="2">
        <v>61.08</v>
      </c>
      <c r="G85" s="4">
        <v>-0.24199999999999999</v>
      </c>
      <c r="H85" s="5">
        <f t="shared" si="2"/>
        <v>-3.0806441346827064E-3</v>
      </c>
      <c r="I85" s="2">
        <v>252</v>
      </c>
      <c r="J85" s="2"/>
      <c r="K85" s="2" t="s">
        <v>26</v>
      </c>
      <c r="L85" s="2">
        <v>1.28</v>
      </c>
      <c r="M85" s="2"/>
    </row>
    <row r="86" spans="1:13" x14ac:dyDescent="0.25">
      <c r="A86" s="2" t="s">
        <v>86</v>
      </c>
      <c r="B86" s="2">
        <v>1</v>
      </c>
      <c r="C86" s="3">
        <v>44763</v>
      </c>
      <c r="D86" s="2">
        <v>86.68</v>
      </c>
      <c r="E86" s="3">
        <v>44845</v>
      </c>
      <c r="F86" s="2">
        <v>64.2</v>
      </c>
      <c r="G86" s="4">
        <v>-0.254</v>
      </c>
      <c r="H86" s="5">
        <f t="shared" si="2"/>
        <v>-1.6167016739863792E-3</v>
      </c>
      <c r="I86" s="2">
        <v>82</v>
      </c>
      <c r="J86" s="2"/>
      <c r="K86" s="2" t="s">
        <v>26</v>
      </c>
      <c r="L86" s="2">
        <v>0.43</v>
      </c>
      <c r="M86" s="2"/>
    </row>
    <row r="87" spans="1:13" x14ac:dyDescent="0.25">
      <c r="A87" s="2" t="s">
        <v>87</v>
      </c>
      <c r="B87" s="2">
        <v>1</v>
      </c>
      <c r="C87" s="3">
        <v>44882</v>
      </c>
      <c r="D87" s="2">
        <v>32.24</v>
      </c>
      <c r="E87" s="3">
        <v>44910</v>
      </c>
      <c r="F87" s="2">
        <v>24.03</v>
      </c>
      <c r="G87" s="4">
        <v>-0.255</v>
      </c>
      <c r="H87" s="5">
        <f t="shared" si="2"/>
        <v>-1.623066641206798E-3</v>
      </c>
      <c r="I87" s="2">
        <v>28</v>
      </c>
      <c r="J87" s="2"/>
      <c r="K87" s="2" t="s">
        <v>26</v>
      </c>
      <c r="L87" s="2">
        <v>0</v>
      </c>
      <c r="M87" s="2"/>
    </row>
    <row r="88" spans="1:13" x14ac:dyDescent="0.25">
      <c r="A88" s="2" t="s">
        <v>48</v>
      </c>
      <c r="B88" s="2">
        <v>1</v>
      </c>
      <c r="C88" s="3">
        <v>44890</v>
      </c>
      <c r="D88" s="2">
        <v>1.45</v>
      </c>
      <c r="E88" s="3">
        <v>44964</v>
      </c>
      <c r="F88" s="2"/>
      <c r="G88" s="4">
        <v>0.34827586206896566</v>
      </c>
      <c r="H88" s="5">
        <f t="shared" si="2"/>
        <v>2.216764445732071E-3</v>
      </c>
      <c r="I88" s="2">
        <v>74</v>
      </c>
      <c r="J88" s="2"/>
      <c r="K88" s="2"/>
      <c r="L88" s="2"/>
      <c r="M88" s="2"/>
    </row>
    <row r="89" spans="1:13" x14ac:dyDescent="0.25">
      <c r="A89" s="2" t="s">
        <v>40</v>
      </c>
      <c r="B89" s="2">
        <v>1</v>
      </c>
      <c r="C89" s="3">
        <v>44932</v>
      </c>
      <c r="D89" s="2">
        <v>4.53</v>
      </c>
      <c r="E89" s="3">
        <v>44966</v>
      </c>
      <c r="F89" s="2"/>
      <c r="G89" s="4">
        <v>0.38741721854304623</v>
      </c>
      <c r="H89" s="5">
        <f t="shared" si="2"/>
        <v>2.4658978966523217E-3</v>
      </c>
      <c r="I89" s="2">
        <v>34</v>
      </c>
      <c r="J89" s="2"/>
      <c r="K89" s="2"/>
      <c r="L89" s="2"/>
      <c r="M89" s="2"/>
    </row>
    <row r="90" spans="1:13" x14ac:dyDescent="0.25">
      <c r="A90" s="2" t="s">
        <v>88</v>
      </c>
      <c r="B90" s="2">
        <v>1</v>
      </c>
      <c r="C90" s="3">
        <v>44910</v>
      </c>
      <c r="D90" s="2">
        <v>92.47</v>
      </c>
      <c r="E90" s="3">
        <v>44980</v>
      </c>
      <c r="F90" s="2"/>
      <c r="G90" s="4">
        <v>0.18141018708770429</v>
      </c>
      <c r="H90" s="5">
        <f t="shared" si="2"/>
        <v>1.1546698942632824E-3</v>
      </c>
      <c r="I90" s="2">
        <v>70</v>
      </c>
      <c r="J90" s="2"/>
      <c r="K90" s="2"/>
      <c r="L90" s="2"/>
      <c r="M90" s="2"/>
    </row>
    <row r="91" spans="1:13" x14ac:dyDescent="0.25">
      <c r="A91" s="2" t="s">
        <v>89</v>
      </c>
      <c r="B91" s="2">
        <v>1</v>
      </c>
      <c r="C91" s="3">
        <v>44854</v>
      </c>
      <c r="D91" s="2">
        <v>87.81</v>
      </c>
      <c r="E91" s="3">
        <v>44994</v>
      </c>
      <c r="F91" s="2">
        <v>96.59</v>
      </c>
      <c r="G91" s="4">
        <v>0.113</v>
      </c>
      <c r="H91" s="5">
        <f t="shared" si="2"/>
        <v>7.1924129590732612E-4</v>
      </c>
      <c r="I91" s="2">
        <v>140</v>
      </c>
      <c r="J91" s="2"/>
      <c r="K91" s="2" t="s">
        <v>26</v>
      </c>
      <c r="L91" s="2">
        <v>1.1000000000000001</v>
      </c>
      <c r="M91" s="2"/>
    </row>
    <row r="92" spans="1:13" x14ac:dyDescent="0.25">
      <c r="A92" s="2" t="s">
        <v>90</v>
      </c>
      <c r="B92" s="2">
        <v>1</v>
      </c>
      <c r="C92" s="3">
        <v>44917</v>
      </c>
      <c r="D92" s="2">
        <v>33.6</v>
      </c>
      <c r="E92" s="3">
        <v>44995</v>
      </c>
      <c r="F92" s="2">
        <v>36.96</v>
      </c>
      <c r="G92" s="6">
        <v>0.1</v>
      </c>
      <c r="H92" s="5">
        <f t="shared" si="2"/>
        <v>6.3649672204188154E-4</v>
      </c>
      <c r="I92" s="2">
        <v>78</v>
      </c>
      <c r="J92" s="2"/>
      <c r="K92" s="2" t="s">
        <v>26</v>
      </c>
      <c r="L92" s="2">
        <v>0</v>
      </c>
      <c r="M92" s="2"/>
    </row>
    <row r="93" spans="1:13" x14ac:dyDescent="0.25">
      <c r="A93" s="2" t="s">
        <v>61</v>
      </c>
      <c r="B93" s="2">
        <v>1</v>
      </c>
      <c r="C93" s="3">
        <v>44812</v>
      </c>
      <c r="D93" s="2">
        <v>8.69</v>
      </c>
      <c r="E93" s="3">
        <v>44995</v>
      </c>
      <c r="F93" s="2">
        <v>5.21</v>
      </c>
      <c r="G93" s="4">
        <v>-0.38300000000000001</v>
      </c>
      <c r="H93" s="5">
        <f t="shared" si="2"/>
        <v>-2.4377824454204062E-3</v>
      </c>
      <c r="I93" s="2">
        <v>183</v>
      </c>
      <c r="J93" s="2"/>
      <c r="K93" s="2" t="s">
        <v>12</v>
      </c>
      <c r="L93" s="2">
        <v>0.15</v>
      </c>
      <c r="M93" s="2"/>
    </row>
    <row r="94" spans="1:13" x14ac:dyDescent="0.25">
      <c r="A94" s="2" t="s">
        <v>91</v>
      </c>
      <c r="B94" s="2">
        <v>1</v>
      </c>
      <c r="C94" s="3">
        <v>44896</v>
      </c>
      <c r="D94" s="2">
        <v>151.84</v>
      </c>
      <c r="E94" s="3">
        <v>44998</v>
      </c>
      <c r="F94" s="2">
        <v>165.99</v>
      </c>
      <c r="G94" s="4">
        <v>9.2999999999999999E-2</v>
      </c>
      <c r="H94" s="5">
        <f t="shared" si="2"/>
        <v>5.9194195149894985E-4</v>
      </c>
      <c r="I94" s="2">
        <v>102</v>
      </c>
      <c r="J94" s="2"/>
      <c r="K94" s="2" t="s">
        <v>26</v>
      </c>
      <c r="L94" s="2">
        <v>0</v>
      </c>
      <c r="M94" s="2"/>
    </row>
    <row r="95" spans="1:13" x14ac:dyDescent="0.25">
      <c r="A95" s="2" t="s">
        <v>92</v>
      </c>
      <c r="B95" s="2">
        <v>1</v>
      </c>
      <c r="C95" s="3">
        <v>45008</v>
      </c>
      <c r="D95" s="2">
        <v>56.15</v>
      </c>
      <c r="E95" s="3">
        <v>45021</v>
      </c>
      <c r="F95" s="2">
        <v>49</v>
      </c>
      <c r="G95" s="4">
        <v>-0.127</v>
      </c>
      <c r="H95" s="5">
        <f t="shared" si="2"/>
        <v>-8.083508369931896E-4</v>
      </c>
      <c r="I95" s="2">
        <v>13</v>
      </c>
      <c r="J95" s="2"/>
      <c r="K95" s="2" t="s">
        <v>12</v>
      </c>
      <c r="L95" s="2">
        <v>0</v>
      </c>
      <c r="M95" s="2"/>
    </row>
    <row r="96" spans="1:13" x14ac:dyDescent="0.25">
      <c r="A96" s="2" t="s">
        <v>93</v>
      </c>
      <c r="B96" s="2">
        <v>1</v>
      </c>
      <c r="C96" s="3">
        <v>44973</v>
      </c>
      <c r="D96" s="2">
        <v>8.3000000000000007</v>
      </c>
      <c r="E96" s="3">
        <v>45048</v>
      </c>
      <c r="F96" s="2">
        <v>6.2</v>
      </c>
      <c r="G96" s="4">
        <v>-0.249</v>
      </c>
      <c r="H96" s="5">
        <f t="shared" si="2"/>
        <v>-1.584876837884285E-3</v>
      </c>
      <c r="I96" s="2">
        <v>75</v>
      </c>
      <c r="J96" s="2"/>
      <c r="K96" s="2" t="s">
        <v>12</v>
      </c>
      <c r="L96" s="2">
        <v>0.04</v>
      </c>
      <c r="M96" s="2"/>
    </row>
    <row r="97" spans="1:13" x14ac:dyDescent="0.25">
      <c r="A97" s="24" t="s">
        <v>99</v>
      </c>
      <c r="B97" s="24">
        <v>1</v>
      </c>
      <c r="C97" s="25">
        <v>44868</v>
      </c>
      <c r="D97" s="24">
        <v>146.1</v>
      </c>
      <c r="E97" s="25">
        <v>45071</v>
      </c>
      <c r="F97" s="24">
        <v>155.41</v>
      </c>
      <c r="G97" s="26">
        <v>0.16320000000000001</v>
      </c>
      <c r="H97" s="5">
        <f t="shared" si="2"/>
        <v>1.0387626503723507E-3</v>
      </c>
      <c r="I97" s="24">
        <v>196</v>
      </c>
      <c r="J97" s="2"/>
      <c r="K97" s="2" t="s">
        <v>26</v>
      </c>
      <c r="L97" s="2"/>
      <c r="M97" s="2"/>
    </row>
    <row r="98" spans="1:13" x14ac:dyDescent="0.25">
      <c r="A98" s="2" t="s">
        <v>97</v>
      </c>
      <c r="B98" s="2">
        <v>1</v>
      </c>
      <c r="C98" s="3">
        <v>44994</v>
      </c>
      <c r="D98" s="2">
        <v>122.91</v>
      </c>
      <c r="E98" s="3">
        <v>45106</v>
      </c>
      <c r="F98" s="2">
        <v>92.18</v>
      </c>
      <c r="G98" s="4">
        <v>0.1053</v>
      </c>
      <c r="H98" s="5">
        <f t="shared" ref="H98:H129" si="3">G98*B98/SUM(B:B)</f>
        <v>6.7023104831010134E-4</v>
      </c>
      <c r="I98" s="2">
        <v>112</v>
      </c>
      <c r="J98" s="2"/>
      <c r="K98" s="2" t="s">
        <v>26</v>
      </c>
      <c r="L98" s="2"/>
      <c r="M98" s="2"/>
    </row>
    <row r="99" spans="1:13" x14ac:dyDescent="0.25">
      <c r="A99" s="24" t="s">
        <v>98</v>
      </c>
      <c r="B99" s="24">
        <v>0.5</v>
      </c>
      <c r="C99" s="25">
        <v>45113</v>
      </c>
      <c r="D99" s="24">
        <v>1.65</v>
      </c>
      <c r="E99" s="25">
        <v>45118</v>
      </c>
      <c r="F99" s="24">
        <v>1.93</v>
      </c>
      <c r="G99" s="26">
        <v>0.20710000000000001</v>
      </c>
      <c r="H99" s="5">
        <f t="shared" si="3"/>
        <v>6.5909235567436833E-4</v>
      </c>
      <c r="I99" s="24">
        <v>5</v>
      </c>
      <c r="J99" s="2"/>
      <c r="K99" s="2" t="s">
        <v>12</v>
      </c>
    </row>
    <row r="100" spans="1:13" x14ac:dyDescent="0.25">
      <c r="A100" s="24" t="s">
        <v>94</v>
      </c>
      <c r="B100" s="24">
        <v>1</v>
      </c>
      <c r="C100" s="25">
        <v>44966</v>
      </c>
      <c r="D100" s="24">
        <v>27.46</v>
      </c>
      <c r="E100" s="25">
        <v>45120</v>
      </c>
      <c r="F100" s="24"/>
      <c r="G100" s="26">
        <v>0.1857</v>
      </c>
      <c r="H100" s="5">
        <f t="shared" si="3"/>
        <v>1.1819744128317741E-3</v>
      </c>
      <c r="I100" s="24">
        <v>154</v>
      </c>
      <c r="J100" s="2"/>
      <c r="K100" s="2" t="s">
        <v>26</v>
      </c>
      <c r="L100" s="2"/>
      <c r="M100" s="2"/>
    </row>
    <row r="101" spans="1:13" x14ac:dyDescent="0.25">
      <c r="A101" s="2" t="s">
        <v>104</v>
      </c>
      <c r="B101" s="2">
        <v>1</v>
      </c>
      <c r="C101" s="3">
        <v>44903</v>
      </c>
      <c r="D101" s="2">
        <v>31.21</v>
      </c>
      <c r="E101" s="3">
        <v>45127</v>
      </c>
      <c r="F101" s="2">
        <v>28.1</v>
      </c>
      <c r="G101" s="4">
        <v>-9.9599999999999994E-2</v>
      </c>
      <c r="H101" s="5">
        <f t="shared" si="3"/>
        <v>-6.3395073515371393E-4</v>
      </c>
      <c r="I101" s="2">
        <v>224</v>
      </c>
      <c r="J101" s="2"/>
      <c r="K101" s="2" t="s">
        <v>12</v>
      </c>
    </row>
    <row r="102" spans="1:13" x14ac:dyDescent="0.25">
      <c r="A102" s="2" t="s">
        <v>105</v>
      </c>
      <c r="B102" s="2">
        <v>1</v>
      </c>
      <c r="C102" s="3">
        <v>45057</v>
      </c>
      <c r="D102" s="2">
        <v>33.090000000000003</v>
      </c>
      <c r="E102" s="3">
        <v>45134</v>
      </c>
      <c r="F102" s="2">
        <v>35.5</v>
      </c>
      <c r="G102" s="4">
        <v>7.2800000000000004E-2</v>
      </c>
      <c r="H102" s="5">
        <f t="shared" si="3"/>
        <v>4.6336961364648978E-4</v>
      </c>
      <c r="I102" s="2">
        <v>77</v>
      </c>
      <c r="J102" s="2"/>
      <c r="K102" s="2"/>
    </row>
    <row r="103" spans="1:13" x14ac:dyDescent="0.25">
      <c r="A103" s="2" t="s">
        <v>106</v>
      </c>
      <c r="B103" s="2">
        <v>1</v>
      </c>
      <c r="C103" s="3">
        <v>45057</v>
      </c>
      <c r="D103" s="2">
        <v>30</v>
      </c>
      <c r="E103" s="3">
        <v>45134</v>
      </c>
      <c r="F103" s="2">
        <v>28.57</v>
      </c>
      <c r="G103" s="4">
        <v>-4.7699999999999999E-2</v>
      </c>
      <c r="H103" s="5">
        <f t="shared" si="3"/>
        <v>-3.0360893641397747E-4</v>
      </c>
      <c r="I103" s="2">
        <v>77</v>
      </c>
    </row>
    <row r="104" spans="1:13" x14ac:dyDescent="0.25">
      <c r="A104" s="2" t="s">
        <v>108</v>
      </c>
      <c r="B104" s="2">
        <v>1</v>
      </c>
      <c r="C104" s="3">
        <v>45047</v>
      </c>
      <c r="D104" s="2">
        <v>124.97</v>
      </c>
      <c r="E104" s="3">
        <v>45149</v>
      </c>
      <c r="F104" s="2">
        <v>129.94</v>
      </c>
      <c r="G104" s="4">
        <v>5.2200000000000003E-2</v>
      </c>
      <c r="H104" s="5">
        <f t="shared" si="3"/>
        <v>3.3225128890586217E-4</v>
      </c>
      <c r="I104" s="2">
        <v>105</v>
      </c>
      <c r="K104" t="s">
        <v>12</v>
      </c>
      <c r="L104">
        <v>1.55</v>
      </c>
    </row>
    <row r="105" spans="1:13" x14ac:dyDescent="0.25">
      <c r="A105" s="2" t="s">
        <v>109</v>
      </c>
      <c r="B105" s="2">
        <v>1</v>
      </c>
      <c r="C105" s="3">
        <v>45026</v>
      </c>
      <c r="D105" s="2">
        <v>18.84</v>
      </c>
      <c r="E105" s="3">
        <v>45149</v>
      </c>
      <c r="F105" s="2">
        <v>16.690000000000001</v>
      </c>
      <c r="G105" s="4">
        <v>-0.1008</v>
      </c>
      <c r="H105" s="5">
        <f t="shared" si="3"/>
        <v>-6.4158869581821664E-4</v>
      </c>
      <c r="I105" s="2">
        <v>126</v>
      </c>
      <c r="K105" t="s">
        <v>12</v>
      </c>
      <c r="L105">
        <v>0.25</v>
      </c>
    </row>
    <row r="106" spans="1:13" x14ac:dyDescent="0.25">
      <c r="A106" s="2" t="s">
        <v>107</v>
      </c>
      <c r="B106" s="2">
        <v>1</v>
      </c>
      <c r="C106" s="3">
        <v>45141</v>
      </c>
      <c r="D106" s="2">
        <v>4.79</v>
      </c>
      <c r="E106" s="3">
        <v>45152</v>
      </c>
      <c r="F106" s="2">
        <v>3.33</v>
      </c>
      <c r="G106" s="4">
        <v>-0.30480000000000002</v>
      </c>
      <c r="H106" s="5">
        <f t="shared" si="3"/>
        <v>-1.9400420087836551E-3</v>
      </c>
      <c r="I106" s="2">
        <v>11</v>
      </c>
      <c r="K106" t="s">
        <v>16</v>
      </c>
      <c r="L106">
        <v>0</v>
      </c>
    </row>
    <row r="107" spans="1:13" x14ac:dyDescent="0.25">
      <c r="A107" s="24" t="s">
        <v>96</v>
      </c>
      <c r="B107" s="24">
        <v>1</v>
      </c>
      <c r="C107" s="28">
        <v>44938</v>
      </c>
      <c r="D107" s="24">
        <v>72.989999999999995</v>
      </c>
      <c r="E107" s="28">
        <v>45155</v>
      </c>
      <c r="F107" s="24">
        <v>93.41</v>
      </c>
      <c r="G107" s="29">
        <v>0.26490000000000002</v>
      </c>
      <c r="H107" s="5">
        <f t="shared" si="3"/>
        <v>1.6860798166889444E-3</v>
      </c>
      <c r="I107" s="27">
        <f>_xlfn.DAYS(E107,C107)</f>
        <v>217</v>
      </c>
      <c r="K107" t="s">
        <v>16</v>
      </c>
    </row>
    <row r="108" spans="1:13" x14ac:dyDescent="0.25">
      <c r="A108" s="2" t="s">
        <v>110</v>
      </c>
      <c r="B108" s="2">
        <v>2</v>
      </c>
      <c r="C108" s="8">
        <v>44791</v>
      </c>
      <c r="D108" s="2">
        <v>36.26</v>
      </c>
      <c r="E108" s="8">
        <v>45155</v>
      </c>
      <c r="F108" s="2">
        <v>27.2</v>
      </c>
      <c r="G108" s="4">
        <v>-0.22329999999999997</v>
      </c>
      <c r="H108" s="5">
        <f t="shared" si="3"/>
        <v>-2.8425943606390424E-3</v>
      </c>
      <c r="I108">
        <f>_xlfn.DAYS(E108,C108)</f>
        <v>364</v>
      </c>
      <c r="K108" t="s">
        <v>12</v>
      </c>
    </row>
    <row r="109" spans="1:13" x14ac:dyDescent="0.25">
      <c r="A109" s="2" t="s">
        <v>111</v>
      </c>
      <c r="B109" s="2">
        <v>1</v>
      </c>
      <c r="C109" s="8">
        <v>44945</v>
      </c>
      <c r="D109" s="2">
        <v>31.55</v>
      </c>
      <c r="E109" s="8">
        <v>45162</v>
      </c>
      <c r="F109" s="2">
        <v>37.35</v>
      </c>
      <c r="G109" s="4">
        <v>0.21969999999999998</v>
      </c>
      <c r="H109" s="5">
        <f t="shared" si="3"/>
        <v>1.3983832983260136E-3</v>
      </c>
      <c r="I109">
        <f>_xlfn.DAYS(E109,C109)</f>
        <v>217</v>
      </c>
      <c r="K109" t="s">
        <v>12</v>
      </c>
    </row>
    <row r="110" spans="1:13" x14ac:dyDescent="0.25">
      <c r="A110" s="2" t="s">
        <v>43</v>
      </c>
      <c r="B110" s="2">
        <v>1</v>
      </c>
      <c r="C110" s="8">
        <v>44959</v>
      </c>
      <c r="D110" s="2">
        <v>1.77</v>
      </c>
      <c r="E110" s="8">
        <v>45180</v>
      </c>
      <c r="F110" s="2">
        <v>0.89</v>
      </c>
      <c r="G110" s="4">
        <v>-0.49719999999999998</v>
      </c>
      <c r="H110" s="5">
        <f t="shared" si="3"/>
        <v>-3.1646617019922348E-3</v>
      </c>
      <c r="I110">
        <f>_xlfn.DAYS(E110,C110)</f>
        <v>221</v>
      </c>
      <c r="K110" t="s">
        <v>12</v>
      </c>
    </row>
    <row r="111" spans="1:13" x14ac:dyDescent="0.25">
      <c r="A111" t="s">
        <v>89</v>
      </c>
      <c r="B111" s="36">
        <v>1</v>
      </c>
      <c r="C111" s="8">
        <v>45022</v>
      </c>
      <c r="D111">
        <v>98.77</v>
      </c>
      <c r="E111" s="8">
        <v>45182</v>
      </c>
      <c r="F111">
        <v>74.08</v>
      </c>
      <c r="G111" s="7">
        <v>-0.23799999999999999</v>
      </c>
      <c r="H111" s="5">
        <f t="shared" si="3"/>
        <v>-1.514862198459678E-3</v>
      </c>
      <c r="I111">
        <v>160</v>
      </c>
      <c r="K111" t="s">
        <v>26</v>
      </c>
      <c r="L111">
        <v>1.18</v>
      </c>
    </row>
    <row r="112" spans="1:13" x14ac:dyDescent="0.25">
      <c r="A112" s="27" t="s">
        <v>95</v>
      </c>
      <c r="B112" s="37">
        <v>1</v>
      </c>
      <c r="C112" s="28">
        <v>44819</v>
      </c>
      <c r="D112" s="27">
        <v>147.88</v>
      </c>
      <c r="E112" s="28">
        <v>45187</v>
      </c>
      <c r="F112" s="27">
        <v>206.64</v>
      </c>
      <c r="G112" s="29">
        <v>0.34939999999999999</v>
      </c>
      <c r="H112" s="5">
        <f t="shared" si="3"/>
        <v>2.2239195468143342E-3</v>
      </c>
      <c r="I112" s="27">
        <v>368</v>
      </c>
      <c r="J112" s="27"/>
      <c r="K112" t="s">
        <v>12</v>
      </c>
      <c r="L112">
        <v>0</v>
      </c>
    </row>
    <row r="113" spans="1:12" x14ac:dyDescent="0.25">
      <c r="A113" t="s">
        <v>118</v>
      </c>
      <c r="B113" s="36">
        <v>3</v>
      </c>
      <c r="C113" s="8">
        <v>44686</v>
      </c>
      <c r="D113">
        <v>17.72</v>
      </c>
      <c r="E113" s="8">
        <v>45195</v>
      </c>
      <c r="F113">
        <v>13.29</v>
      </c>
      <c r="G113" s="9">
        <v>-0.25</v>
      </c>
      <c r="H113" s="5">
        <f t="shared" si="3"/>
        <v>-4.7737254153141116E-3</v>
      </c>
      <c r="I113">
        <v>509</v>
      </c>
      <c r="K113" t="s">
        <v>26</v>
      </c>
      <c r="L113">
        <v>0</v>
      </c>
    </row>
    <row r="114" spans="1:12" x14ac:dyDescent="0.25">
      <c r="A114" t="s">
        <v>114</v>
      </c>
      <c r="B114" s="36">
        <v>1</v>
      </c>
      <c r="C114" s="8">
        <v>45076</v>
      </c>
      <c r="D114">
        <v>200</v>
      </c>
      <c r="E114" s="8">
        <v>45202</v>
      </c>
      <c r="F114">
        <v>160</v>
      </c>
      <c r="G114" s="7">
        <v>-0.19600000000000001</v>
      </c>
      <c r="H114" s="5">
        <f t="shared" si="3"/>
        <v>-1.2475335752020879E-3</v>
      </c>
      <c r="I114">
        <v>126</v>
      </c>
      <c r="K114" t="s">
        <v>12</v>
      </c>
      <c r="L114">
        <v>0.8</v>
      </c>
    </row>
    <row r="115" spans="1:12" x14ac:dyDescent="0.25">
      <c r="A115" t="s">
        <v>125</v>
      </c>
      <c r="B115" s="36">
        <v>1</v>
      </c>
      <c r="C115" s="8">
        <v>45071</v>
      </c>
      <c r="D115">
        <v>3.71</v>
      </c>
      <c r="E115" s="8">
        <v>45202</v>
      </c>
      <c r="F115">
        <v>2.78</v>
      </c>
      <c r="G115" s="7">
        <v>-0.2291</v>
      </c>
      <c r="H115" s="5">
        <f t="shared" si="3"/>
        <v>-1.4582139901979506E-3</v>
      </c>
      <c r="I115">
        <v>131</v>
      </c>
      <c r="K115" t="s">
        <v>12</v>
      </c>
      <c r="L115">
        <v>0.08</v>
      </c>
    </row>
    <row r="116" spans="1:12" x14ac:dyDescent="0.25">
      <c r="A116" t="s">
        <v>116</v>
      </c>
      <c r="B116" s="36">
        <v>1</v>
      </c>
      <c r="C116" s="8">
        <v>44952</v>
      </c>
      <c r="D116">
        <v>40.92</v>
      </c>
      <c r="E116" s="8">
        <v>45202</v>
      </c>
      <c r="F116">
        <v>30.69</v>
      </c>
      <c r="G116" s="9">
        <v>-0.25</v>
      </c>
      <c r="H116" s="5">
        <f t="shared" si="3"/>
        <v>-1.5912418051047038E-3</v>
      </c>
      <c r="I116">
        <v>250</v>
      </c>
      <c r="K116" t="s">
        <v>26</v>
      </c>
      <c r="L116">
        <v>0</v>
      </c>
    </row>
    <row r="117" spans="1:12" x14ac:dyDescent="0.25">
      <c r="A117" t="s">
        <v>119</v>
      </c>
      <c r="B117" s="36">
        <v>1</v>
      </c>
      <c r="C117" s="8">
        <v>44826</v>
      </c>
      <c r="D117">
        <v>37.21</v>
      </c>
      <c r="E117" s="8">
        <v>45212</v>
      </c>
      <c r="F117">
        <v>27.91</v>
      </c>
      <c r="G117" s="7">
        <v>-0.22270000000000001</v>
      </c>
      <c r="H117" s="5">
        <f t="shared" si="3"/>
        <v>-1.4174781999872702E-3</v>
      </c>
      <c r="I117">
        <v>386</v>
      </c>
      <c r="K117" t="s">
        <v>26</v>
      </c>
      <c r="L117">
        <v>1.02</v>
      </c>
    </row>
    <row r="118" spans="1:12" x14ac:dyDescent="0.25">
      <c r="A118" t="s">
        <v>120</v>
      </c>
      <c r="B118" s="36">
        <v>1</v>
      </c>
      <c r="C118" s="8">
        <v>45036</v>
      </c>
      <c r="D118">
        <v>108.96</v>
      </c>
      <c r="E118" s="8">
        <v>45212</v>
      </c>
      <c r="F118">
        <v>81.72</v>
      </c>
      <c r="G118" s="7">
        <v>-0.24490000000000001</v>
      </c>
      <c r="H118" s="5">
        <f t="shared" si="3"/>
        <v>-1.558780472280568E-3</v>
      </c>
      <c r="I118">
        <v>176</v>
      </c>
      <c r="K118" t="s">
        <v>26</v>
      </c>
      <c r="L118">
        <v>0.56000000000000005</v>
      </c>
    </row>
    <row r="119" spans="1:12" x14ac:dyDescent="0.25">
      <c r="A119" t="s">
        <v>123</v>
      </c>
      <c r="B119" s="36">
        <v>1</v>
      </c>
      <c r="C119" s="8">
        <v>44798</v>
      </c>
      <c r="D119">
        <v>90.5</v>
      </c>
      <c r="E119" s="8">
        <v>45218</v>
      </c>
      <c r="F119">
        <v>67.88</v>
      </c>
      <c r="G119" s="7">
        <v>-0.24990000000000001</v>
      </c>
      <c r="H119" s="5">
        <f t="shared" si="3"/>
        <v>-1.590605308382662E-3</v>
      </c>
      <c r="I119">
        <v>420</v>
      </c>
      <c r="K119" t="s">
        <v>26</v>
      </c>
      <c r="L119">
        <v>0</v>
      </c>
    </row>
    <row r="120" spans="1:12" x14ac:dyDescent="0.25">
      <c r="A120" t="s">
        <v>124</v>
      </c>
      <c r="B120" s="36">
        <v>1</v>
      </c>
      <c r="C120" s="8">
        <v>45155</v>
      </c>
      <c r="D120">
        <v>51.61</v>
      </c>
      <c r="E120" s="8">
        <v>45222</v>
      </c>
      <c r="F120">
        <v>38.54</v>
      </c>
      <c r="G120" s="7">
        <v>-0.25319999999999998</v>
      </c>
      <c r="H120" s="5">
        <f t="shared" si="3"/>
        <v>-1.611609700210044E-3</v>
      </c>
      <c r="I120">
        <v>67</v>
      </c>
      <c r="K120" t="s">
        <v>16</v>
      </c>
      <c r="L120">
        <v>0</v>
      </c>
    </row>
    <row r="121" spans="1:12" x14ac:dyDescent="0.25">
      <c r="A121" t="s">
        <v>115</v>
      </c>
      <c r="B121" s="36">
        <v>1</v>
      </c>
      <c r="C121" s="8">
        <v>45190</v>
      </c>
      <c r="D121">
        <v>12.99</v>
      </c>
      <c r="E121" s="8">
        <v>45225</v>
      </c>
      <c r="F121">
        <v>9.74</v>
      </c>
      <c r="G121" s="7">
        <v>-0.25019999999999998</v>
      </c>
      <c r="H121" s="5">
        <f t="shared" si="3"/>
        <v>-1.5925147985487874E-3</v>
      </c>
      <c r="I121">
        <v>35</v>
      </c>
      <c r="K121" t="s">
        <v>12</v>
      </c>
      <c r="L121">
        <v>0</v>
      </c>
    </row>
    <row r="122" spans="1:12" x14ac:dyDescent="0.25">
      <c r="A122" t="s">
        <v>121</v>
      </c>
      <c r="B122" s="36">
        <v>1</v>
      </c>
      <c r="C122" s="8">
        <v>44987</v>
      </c>
      <c r="D122">
        <v>40.06</v>
      </c>
      <c r="E122" s="8">
        <v>45226</v>
      </c>
      <c r="F122">
        <v>30.05</v>
      </c>
      <c r="G122" s="7">
        <v>-0.22939999999999999</v>
      </c>
      <c r="H122" s="5">
        <f t="shared" si="3"/>
        <v>-1.4601234803640762E-3</v>
      </c>
      <c r="I122">
        <v>239</v>
      </c>
      <c r="K122" t="s">
        <v>12</v>
      </c>
      <c r="L122">
        <v>0.82</v>
      </c>
    </row>
    <row r="123" spans="1:12" x14ac:dyDescent="0.25">
      <c r="A123" t="s">
        <v>117</v>
      </c>
      <c r="B123" s="36">
        <v>1</v>
      </c>
      <c r="C123" s="8">
        <v>44714</v>
      </c>
      <c r="D123">
        <v>-2.95</v>
      </c>
      <c r="E123" s="8">
        <v>45259</v>
      </c>
      <c r="F123">
        <v>1.48</v>
      </c>
      <c r="G123" s="7">
        <v>-0.49830000000000002</v>
      </c>
      <c r="H123" s="5">
        <f t="shared" si="3"/>
        <v>-3.171663165934696E-3</v>
      </c>
      <c r="I123">
        <v>0</v>
      </c>
      <c r="K123" t="s">
        <v>26</v>
      </c>
    </row>
    <row r="124" spans="1:12" x14ac:dyDescent="0.25">
      <c r="A124" t="s">
        <v>122</v>
      </c>
      <c r="B124" s="36">
        <v>1</v>
      </c>
      <c r="C124" s="8">
        <v>44714</v>
      </c>
      <c r="D124">
        <v>5.2</v>
      </c>
      <c r="E124" s="8">
        <v>45259</v>
      </c>
      <c r="F124">
        <v>0.01</v>
      </c>
      <c r="G124" s="7">
        <v>-0.99809999999999999</v>
      </c>
      <c r="H124" s="5">
        <f t="shared" si="3"/>
        <v>-6.3528737827000196E-3</v>
      </c>
      <c r="I124">
        <v>545</v>
      </c>
      <c r="K124" t="s">
        <v>26</v>
      </c>
    </row>
    <row r="125" spans="1:12" x14ac:dyDescent="0.25">
      <c r="A125" t="s">
        <v>142</v>
      </c>
      <c r="B125" s="36">
        <v>1</v>
      </c>
      <c r="C125" s="8">
        <v>44651</v>
      </c>
      <c r="D125">
        <v>1.1399999999999999</v>
      </c>
      <c r="E125" s="8">
        <v>45267</v>
      </c>
      <c r="F125">
        <v>3.61</v>
      </c>
      <c r="G125" s="7">
        <v>2.1667000000000001</v>
      </c>
      <c r="H125" s="5">
        <f t="shared" si="3"/>
        <v>1.3790974476481447E-2</v>
      </c>
      <c r="I125">
        <v>616</v>
      </c>
      <c r="K125" t="s">
        <v>12</v>
      </c>
      <c r="L125">
        <v>0</v>
      </c>
    </row>
    <row r="126" spans="1:12" x14ac:dyDescent="0.25">
      <c r="A126" t="s">
        <v>143</v>
      </c>
      <c r="B126" s="36">
        <v>1</v>
      </c>
      <c r="C126" s="8">
        <v>44861</v>
      </c>
      <c r="D126">
        <v>36.5</v>
      </c>
      <c r="E126" s="8">
        <v>45267</v>
      </c>
      <c r="F126">
        <v>38.590000000000003</v>
      </c>
      <c r="G126" s="7">
        <v>0.12909999999999999</v>
      </c>
      <c r="H126" s="5">
        <f t="shared" si="3"/>
        <v>8.2171726815606898E-4</v>
      </c>
      <c r="I126">
        <v>406</v>
      </c>
      <c r="K126" t="s">
        <v>12</v>
      </c>
      <c r="L126">
        <v>2.62</v>
      </c>
    </row>
    <row r="127" spans="1:12" x14ac:dyDescent="0.25">
      <c r="A127" t="s">
        <v>114</v>
      </c>
      <c r="B127" s="36">
        <v>1</v>
      </c>
      <c r="C127" s="8">
        <v>45204</v>
      </c>
      <c r="D127">
        <v>157.21</v>
      </c>
      <c r="E127" s="8">
        <v>45267</v>
      </c>
      <c r="F127">
        <v>121.21</v>
      </c>
      <c r="G127" s="7">
        <v>-0.22900000000000001</v>
      </c>
      <c r="H127" s="5">
        <f t="shared" si="3"/>
        <v>-1.4575774934759088E-3</v>
      </c>
      <c r="I127">
        <v>63</v>
      </c>
      <c r="K127" t="s">
        <v>12</v>
      </c>
      <c r="L127">
        <v>0</v>
      </c>
    </row>
    <row r="128" spans="1:12" x14ac:dyDescent="0.25">
      <c r="A128" t="s">
        <v>141</v>
      </c>
      <c r="B128" s="36">
        <v>1</v>
      </c>
      <c r="C128" s="8">
        <v>45225</v>
      </c>
      <c r="D128">
        <v>102.15</v>
      </c>
      <c r="E128" s="8">
        <v>45281</v>
      </c>
      <c r="F128">
        <v>122.42</v>
      </c>
      <c r="G128" s="7">
        <v>0.2021</v>
      </c>
      <c r="H128" s="5">
        <f t="shared" si="3"/>
        <v>1.2863598752466427E-3</v>
      </c>
      <c r="I128">
        <v>56</v>
      </c>
      <c r="K128" t="s">
        <v>16</v>
      </c>
      <c r="L128">
        <v>0.37</v>
      </c>
    </row>
    <row r="129" spans="1:1023 1025:2048 2055:3068 3075:4095 4097:5120 5127:6140 6147:7167 7169:8192 8199:9212 9219:10239 10241:11264 11271:12284 12291:13311 13313:14336 14343:15356 15363:16383" x14ac:dyDescent="0.25">
      <c r="A129" t="s">
        <v>137</v>
      </c>
      <c r="B129" s="36">
        <v>1</v>
      </c>
      <c r="C129" s="8">
        <v>45260</v>
      </c>
      <c r="D129">
        <v>15.62</v>
      </c>
      <c r="E129" s="8">
        <v>45281</v>
      </c>
      <c r="F129">
        <v>18.41</v>
      </c>
      <c r="G129" s="7">
        <v>0.17860000000000001</v>
      </c>
      <c r="H129" s="5">
        <f t="shared" si="3"/>
        <v>1.1367831455668005E-3</v>
      </c>
      <c r="I129">
        <v>21</v>
      </c>
      <c r="K129" t="s">
        <v>16</v>
      </c>
      <c r="L129">
        <v>0</v>
      </c>
    </row>
    <row r="130" spans="1:1023 1025:2048 2055:3068 3075:4095 4097:5120 5127:6140 6147:7167 7169:8192 8199:9212 9219:10239 10241:11264 11271:12284 12291:13311 13313:14336 14343:15356 15363:16383" x14ac:dyDescent="0.25">
      <c r="A130" t="s">
        <v>140</v>
      </c>
      <c r="B130" s="36">
        <v>1</v>
      </c>
      <c r="C130" s="8">
        <v>44980</v>
      </c>
      <c r="D130">
        <v>267.7</v>
      </c>
      <c r="E130" s="8">
        <v>45281</v>
      </c>
      <c r="F130">
        <v>290.72000000000003</v>
      </c>
      <c r="G130" s="7">
        <v>0.10929999999999999</v>
      </c>
      <c r="H130" s="5">
        <f t="shared" ref="H130:H161" si="4">G130*B130/SUM(B:B)</f>
        <v>6.9569091719177652E-4</v>
      </c>
      <c r="I130">
        <v>301</v>
      </c>
      <c r="K130" t="s">
        <v>26</v>
      </c>
      <c r="L130">
        <v>6.23</v>
      </c>
    </row>
    <row r="131" spans="1:1023 1025:2048 2055:3068 3075:4095 4097:5120 5127:6140 6147:7167 7169:8192 8199:9212 9219:10239 10241:11264 11271:12284 12291:13311 13313:14336 14343:15356 15363:16383" x14ac:dyDescent="0.25">
      <c r="A131" t="s">
        <v>139</v>
      </c>
      <c r="B131" s="36">
        <v>1</v>
      </c>
      <c r="C131" s="8">
        <v>45211</v>
      </c>
      <c r="D131">
        <v>199.04</v>
      </c>
      <c r="E131" s="8">
        <v>45281</v>
      </c>
      <c r="F131">
        <v>218.55</v>
      </c>
      <c r="G131" s="7">
        <v>0.10059999999999999</v>
      </c>
      <c r="H131" s="5">
        <f t="shared" si="4"/>
        <v>6.4031570237413284E-4</v>
      </c>
      <c r="I131">
        <v>70</v>
      </c>
      <c r="K131" t="s">
        <v>16</v>
      </c>
      <c r="L131">
        <v>0.52</v>
      </c>
    </row>
    <row r="132" spans="1:1023 1025:2048 2055:3068 3075:4095 4097:5120 5127:6140 6147:7167 7169:8192 8199:9212 9219:10239 10241:11264 11271:12284 12291:13311 13313:14336 14343:15356 15363:16383" x14ac:dyDescent="0.25">
      <c r="A132" t="s">
        <v>14</v>
      </c>
      <c r="B132" s="36">
        <v>1</v>
      </c>
      <c r="C132" s="8">
        <v>45169</v>
      </c>
      <c r="D132">
        <v>84.46</v>
      </c>
      <c r="E132" s="8">
        <v>45281</v>
      </c>
      <c r="F132">
        <v>91.45</v>
      </c>
      <c r="G132" s="7">
        <v>8.2799999999999999E-2</v>
      </c>
      <c r="H132" s="5">
        <f t="shared" si="4"/>
        <v>5.2701928585067786E-4</v>
      </c>
      <c r="I132">
        <v>112</v>
      </c>
      <c r="K132" t="s">
        <v>16</v>
      </c>
      <c r="L132">
        <v>0</v>
      </c>
    </row>
    <row r="133" spans="1:1023 1025:2048 2055:3068 3075:4095 4097:5120 5127:6140 6147:7167 7169:8192 8199:9212 9219:10239 10241:11264 11271:12284 12291:13311 13313:14336 14343:15356 15363:16383" x14ac:dyDescent="0.25">
      <c r="A133" t="s">
        <v>138</v>
      </c>
      <c r="B133" s="36">
        <v>1</v>
      </c>
      <c r="C133" s="8">
        <v>45001</v>
      </c>
      <c r="D133">
        <v>52.94</v>
      </c>
      <c r="E133" s="8">
        <v>45281</v>
      </c>
      <c r="F133">
        <v>48.29</v>
      </c>
      <c r="G133" s="7">
        <v>-8.0299999999999996E-2</v>
      </c>
      <c r="H133" s="5">
        <f t="shared" si="4"/>
        <v>-5.1110686779963087E-4</v>
      </c>
      <c r="I133">
        <v>280</v>
      </c>
      <c r="K133" t="s">
        <v>26</v>
      </c>
      <c r="L133">
        <v>0.4</v>
      </c>
    </row>
    <row r="134" spans="1:1023 1025:2048 2055:3068 3075:4095 4097:5120 5127:6140 6147:7167 7169:8192 8199:9212 9219:10239 10241:11264 11271:12284 12291:13311 13313:14336 14343:15356 15363:16383" x14ac:dyDescent="0.25">
      <c r="A134" t="s">
        <v>145</v>
      </c>
      <c r="B134">
        <v>2</v>
      </c>
      <c r="C134" s="8">
        <v>44343</v>
      </c>
      <c r="D134">
        <v>34.81</v>
      </c>
      <c r="E134" s="8">
        <v>45302</v>
      </c>
      <c r="F134">
        <v>37.76</v>
      </c>
      <c r="G134" s="7">
        <v>0.13719999999999999</v>
      </c>
      <c r="H134" s="5">
        <f t="shared" si="4"/>
        <v>1.7465470052829227E-3</v>
      </c>
      <c r="I134">
        <v>959</v>
      </c>
      <c r="K134" t="s">
        <v>16</v>
      </c>
      <c r="L134">
        <v>3.65</v>
      </c>
    </row>
    <row r="135" spans="1:1023 1025:2048 2055:3068 3075:4095 4097:5120 5127:6140 6147:7167 7169:8192 8199:9212 9219:10239 10241:11264 11271:12284 12291:13311 13313:14336 14343:15356 15363:16383" x14ac:dyDescent="0.25">
      <c r="A135" t="s">
        <v>144</v>
      </c>
      <c r="B135">
        <v>1</v>
      </c>
      <c r="C135" s="8">
        <v>44827</v>
      </c>
      <c r="D135">
        <v>11</v>
      </c>
      <c r="E135" s="8">
        <v>45309</v>
      </c>
      <c r="F135">
        <v>13.57</v>
      </c>
      <c r="G135" s="7">
        <v>0.3417</v>
      </c>
      <c r="H135" s="5">
        <f t="shared" si="4"/>
        <v>2.1749092992171095E-3</v>
      </c>
      <c r="I135">
        <f t="shared" ref="I135:I142" si="5">_xlfn.DAYS(E135,C135)</f>
        <v>482</v>
      </c>
      <c r="K135" t="s">
        <v>12</v>
      </c>
    </row>
    <row r="136" spans="1:1023 1025:2048 2055:3068 3075:4095 4097:5120 5127:6140 6147:7167 7169:8192 8199:9212 9219:10239 10241:11264 11271:12284 12291:13311 13313:14336 14343:15356 15363:16383" x14ac:dyDescent="0.25">
      <c r="A136" t="s">
        <v>146</v>
      </c>
      <c r="B136">
        <v>1</v>
      </c>
      <c r="C136" s="8">
        <v>45239</v>
      </c>
      <c r="D136">
        <v>42.27</v>
      </c>
      <c r="E136" s="8">
        <v>45309</v>
      </c>
      <c r="F136">
        <v>51.5</v>
      </c>
      <c r="G136" s="7">
        <v>0.21840000000000001</v>
      </c>
      <c r="H136" s="5">
        <f t="shared" si="4"/>
        <v>1.3901088409394695E-3</v>
      </c>
      <c r="I136">
        <f t="shared" si="5"/>
        <v>70</v>
      </c>
    </row>
    <row r="137" spans="1:1023 1025:2048 2055:3068 3075:4095 4097:5120 5127:6140 6147:7167 7169:8192 8199:9212 9219:10239 10241:11264 11271:12284 12291:13311 13313:14336 14343:15356 15363:16383" x14ac:dyDescent="0.25">
      <c r="A137" t="s">
        <v>144</v>
      </c>
      <c r="B137">
        <v>1</v>
      </c>
      <c r="C137" s="8">
        <v>45026</v>
      </c>
      <c r="D137">
        <v>12.5</v>
      </c>
      <c r="E137" s="8">
        <v>45309</v>
      </c>
      <c r="F137">
        <v>13.8</v>
      </c>
      <c r="G137" s="7">
        <v>0.1784</v>
      </c>
      <c r="H137" s="5">
        <f t="shared" si="4"/>
        <v>1.1355101521227167E-3</v>
      </c>
      <c r="I137">
        <f t="shared" si="5"/>
        <v>283</v>
      </c>
      <c r="K137" t="s">
        <v>12</v>
      </c>
      <c r="L137">
        <v>0.93</v>
      </c>
    </row>
    <row r="138" spans="1:1023 1025:2048 2055:3068 3075:4095 4097:5120 5127:6140 6147:7167 7169:8192 8199:9212 9219:10239 10241:11264 11271:12284 12291:13311 13313:14336 14343:15356 15363:16383" x14ac:dyDescent="0.25">
      <c r="A138" t="s">
        <v>143</v>
      </c>
      <c r="B138">
        <v>1</v>
      </c>
      <c r="C138" s="8">
        <v>45026</v>
      </c>
      <c r="D138">
        <v>39.21</v>
      </c>
      <c r="E138" s="8">
        <v>45309</v>
      </c>
      <c r="F138">
        <v>38.53</v>
      </c>
      <c r="G138" s="7">
        <v>3.32E-2</v>
      </c>
      <c r="H138" s="5">
        <f t="shared" si="4"/>
        <v>2.1131691171790467E-4</v>
      </c>
      <c r="I138">
        <f t="shared" si="5"/>
        <v>283</v>
      </c>
      <c r="K138" t="s">
        <v>12</v>
      </c>
      <c r="L138">
        <v>1.98</v>
      </c>
    </row>
    <row r="139" spans="1:1023 1025:2048 2055:3068 3075:4095 4097:5120 5127:6140 6147:7167 7169:8192 8199:9212 9219:10239 10241:11264 11271:12284 12291:13311 13313:14336 14343:15356 15363:16383" x14ac:dyDescent="0.25">
      <c r="A139" t="s">
        <v>147</v>
      </c>
      <c r="B139">
        <v>1</v>
      </c>
      <c r="C139" s="8">
        <v>45064</v>
      </c>
      <c r="D139">
        <v>284</v>
      </c>
      <c r="E139" s="8">
        <v>45316</v>
      </c>
      <c r="F139">
        <v>309.07</v>
      </c>
      <c r="G139" s="7">
        <v>9.64E-2</v>
      </c>
      <c r="H139" s="5">
        <f t="shared" si="4"/>
        <v>6.1358284004837385E-4</v>
      </c>
      <c r="I139">
        <f t="shared" si="5"/>
        <v>252</v>
      </c>
      <c r="K139" t="s">
        <v>26</v>
      </c>
      <c r="L139">
        <v>2.2999999999999998</v>
      </c>
    </row>
    <row r="140" spans="1:1023 1025:2048 2055:3068 3075:4095 4097:5120 5127:6140 6147:7167 7169:8192 8199:9212 9219:10239 10241:11264 11271:12284 12291:13311 13313:14336 14343:15356 15363:16383" x14ac:dyDescent="0.25">
      <c r="A140" t="s">
        <v>148</v>
      </c>
      <c r="B140">
        <v>1</v>
      </c>
      <c r="C140" s="8">
        <v>45197</v>
      </c>
      <c r="D140">
        <v>88.58</v>
      </c>
      <c r="E140" s="8">
        <v>45316</v>
      </c>
      <c r="F140">
        <v>95.36</v>
      </c>
      <c r="G140" s="7">
        <v>8.0299999999999996E-2</v>
      </c>
      <c r="H140" s="5">
        <f t="shared" si="4"/>
        <v>5.1110686779963087E-4</v>
      </c>
      <c r="I140">
        <f t="shared" si="5"/>
        <v>119</v>
      </c>
      <c r="K140" t="s">
        <v>16</v>
      </c>
      <c r="L140">
        <v>0.33</v>
      </c>
    </row>
    <row r="141" spans="1:1023 1025:2048 2055:3068 3075:4095 4097:5120 5127:6140 6147:7167 7169:8192 8199:9212 9219:10239 10241:11264 11271:12284 12291:13311 13313:14336 14343:15356 15363:16383" x14ac:dyDescent="0.25">
      <c r="A141" t="s">
        <v>149</v>
      </c>
      <c r="B141">
        <v>1</v>
      </c>
      <c r="C141" s="8">
        <v>45274</v>
      </c>
      <c r="D141">
        <v>82.37</v>
      </c>
      <c r="E141" s="8">
        <v>45323</v>
      </c>
      <c r="F141">
        <v>83.91</v>
      </c>
      <c r="G141" s="7">
        <v>2.8400000000000002E-2</v>
      </c>
      <c r="H141" s="5">
        <f t="shared" si="4"/>
        <v>1.8076506905989438E-4</v>
      </c>
      <c r="I141">
        <f t="shared" si="5"/>
        <v>49</v>
      </c>
      <c r="K141" t="s">
        <v>12</v>
      </c>
      <c r="L141">
        <v>0.8</v>
      </c>
    </row>
    <row r="142" spans="1:1023 1025:2048 2055:3068 3075:4095 4097:5120 5127:6140 6147:7167 7169:8192 8199:9212 9219:10239 10241:11264 11271:12284 12291:13311 13313:14336 14343:15356 15363:16383" x14ac:dyDescent="0.25">
      <c r="A142" t="s">
        <v>150</v>
      </c>
      <c r="B142">
        <v>1</v>
      </c>
      <c r="C142" s="8">
        <v>45302</v>
      </c>
      <c r="D142">
        <v>68.599999999999994</v>
      </c>
      <c r="E142" s="8">
        <v>45366</v>
      </c>
      <c r="F142">
        <v>85.64</v>
      </c>
      <c r="G142" s="7">
        <v>0.24829999999999999</v>
      </c>
      <c r="H142" s="5">
        <f t="shared" si="4"/>
        <v>1.5804213608299918E-3</v>
      </c>
      <c r="I142">
        <f t="shared" si="5"/>
        <v>64</v>
      </c>
      <c r="M142" s="2"/>
    </row>
    <row r="143" spans="1:1023 1025:2048 2055:3068 3075:4095 4097:5120 5127:6140 6147:7167 7169:8192 8199:9212 9219:10239 10241:11264 11271:12284 12291:13311 13313:14336 14343:15356 15363:16383" s="2" customFormat="1" x14ac:dyDescent="0.25">
      <c r="A143" t="s">
        <v>152</v>
      </c>
      <c r="B143">
        <v>1</v>
      </c>
      <c r="C143" s="8">
        <v>45357</v>
      </c>
      <c r="D143">
        <v>5.17</v>
      </c>
      <c r="E143" s="8">
        <v>45365</v>
      </c>
      <c r="F143">
        <v>7.3674999999999997</v>
      </c>
      <c r="G143" s="7">
        <v>0.42499999999999999</v>
      </c>
      <c r="H143" s="5">
        <f t="shared" si="4"/>
        <v>2.7051110686779965E-3</v>
      </c>
      <c r="I143">
        <f t="shared" ref="I143:I150" si="6">_xlfn.DAYS(E143,C143)</f>
        <v>8</v>
      </c>
      <c r="J143"/>
      <c r="K143" t="s">
        <v>16</v>
      </c>
      <c r="L143"/>
      <c r="M143"/>
      <c r="O143" s="3"/>
      <c r="Q143" s="3"/>
      <c r="S143" s="4"/>
      <c r="T143" s="5"/>
      <c r="AA143" s="3"/>
      <c r="AC143" s="3"/>
      <c r="AE143" s="4"/>
      <c r="AF143" s="5"/>
      <c r="AM143" s="3"/>
      <c r="AO143" s="3"/>
      <c r="AQ143" s="4"/>
      <c r="AR143" s="5"/>
      <c r="AY143" s="3"/>
      <c r="BA143" s="3"/>
      <c r="BC143" s="4"/>
      <c r="BD143" s="5"/>
      <c r="BK143" s="3"/>
      <c r="BM143" s="3"/>
      <c r="BO143" s="4"/>
      <c r="BP143" s="5"/>
      <c r="BW143" s="3"/>
      <c r="BY143" s="3"/>
      <c r="CA143" s="4"/>
      <c r="CB143" s="5"/>
      <c r="CI143" s="3"/>
      <c r="CK143" s="3"/>
      <c r="CM143" s="4"/>
      <c r="CN143" s="5"/>
      <c r="CU143" s="3"/>
      <c r="CW143" s="3"/>
      <c r="CY143" s="4"/>
      <c r="CZ143" s="5"/>
      <c r="DG143" s="3"/>
      <c r="DI143" s="3"/>
      <c r="DK143" s="4"/>
      <c r="DL143" s="5"/>
      <c r="DS143" s="3"/>
      <c r="DU143" s="3"/>
      <c r="DW143" s="4"/>
      <c r="DX143" s="5"/>
      <c r="EE143" s="3"/>
      <c r="EG143" s="3"/>
      <c r="EI143" s="4"/>
      <c r="EJ143" s="5"/>
      <c r="EQ143" s="3"/>
      <c r="ES143" s="3"/>
      <c r="EU143" s="4"/>
      <c r="EV143" s="5"/>
      <c r="FC143" s="3"/>
      <c r="FE143" s="3"/>
      <c r="FG143" s="4"/>
      <c r="FH143" s="5"/>
      <c r="FO143" s="3"/>
      <c r="FQ143" s="3"/>
      <c r="FS143" s="4"/>
      <c r="FT143" s="5"/>
      <c r="GA143" s="3"/>
      <c r="GC143" s="3"/>
      <c r="GE143" s="4"/>
      <c r="GF143" s="5"/>
      <c r="GM143" s="3"/>
      <c r="GO143" s="3"/>
      <c r="GQ143" s="4"/>
      <c r="GR143" s="5"/>
      <c r="GY143" s="3"/>
      <c r="HA143" s="3"/>
      <c r="HC143" s="4"/>
      <c r="HD143" s="5"/>
      <c r="HK143" s="3"/>
      <c r="HM143" s="3"/>
      <c r="HO143" s="4"/>
      <c r="HP143" s="5"/>
      <c r="HW143" s="3"/>
      <c r="HY143" s="3"/>
      <c r="IA143" s="4"/>
      <c r="IB143" s="5"/>
      <c r="II143" s="3"/>
      <c r="IK143" s="3"/>
      <c r="IM143" s="4"/>
      <c r="IN143" s="5"/>
      <c r="IU143" s="3"/>
      <c r="IW143" s="3"/>
      <c r="IY143" s="4"/>
      <c r="IZ143" s="5"/>
      <c r="JG143" s="3"/>
      <c r="JI143" s="3"/>
      <c r="JK143" s="4"/>
      <c r="JL143" s="5"/>
      <c r="JS143" s="3"/>
      <c r="JU143" s="3"/>
      <c r="JW143" s="4"/>
      <c r="JX143" s="5"/>
      <c r="KE143" s="3"/>
      <c r="KG143" s="3"/>
      <c r="KI143" s="4"/>
      <c r="KJ143" s="5"/>
      <c r="KQ143" s="3"/>
      <c r="KS143" s="3"/>
      <c r="KU143" s="4"/>
      <c r="KV143" s="5"/>
      <c r="LC143" s="3"/>
      <c r="LE143" s="3"/>
      <c r="LG143" s="4"/>
      <c r="LH143" s="5"/>
      <c r="LO143" s="3"/>
      <c r="LQ143" s="3"/>
      <c r="LS143" s="4"/>
      <c r="LT143" s="5"/>
      <c r="MA143" s="3"/>
      <c r="MC143" s="3"/>
      <c r="ME143" s="4"/>
      <c r="MF143" s="5"/>
      <c r="MM143" s="3"/>
      <c r="MO143" s="3"/>
      <c r="MQ143" s="4"/>
      <c r="MR143" s="5"/>
      <c r="MY143" s="3"/>
      <c r="NA143" s="3"/>
      <c r="NC143" s="4"/>
      <c r="ND143" s="5"/>
      <c r="NK143" s="3"/>
      <c r="NM143" s="3"/>
      <c r="NO143" s="4"/>
      <c r="NP143" s="5"/>
      <c r="NW143" s="3"/>
      <c r="NY143" s="3"/>
      <c r="OA143" s="4"/>
      <c r="OB143" s="5"/>
      <c r="OI143" s="3"/>
      <c r="OK143" s="3"/>
      <c r="OM143" s="4"/>
      <c r="ON143" s="5"/>
      <c r="OU143" s="3"/>
      <c r="OW143" s="3"/>
      <c r="OY143" s="4"/>
      <c r="OZ143" s="5"/>
      <c r="PG143" s="3"/>
      <c r="PI143" s="3"/>
      <c r="PK143" s="4"/>
      <c r="PL143" s="5"/>
      <c r="PS143" s="3"/>
      <c r="PU143" s="3"/>
      <c r="PW143" s="4"/>
      <c r="PX143" s="5"/>
      <c r="QE143" s="3"/>
      <c r="QG143" s="3"/>
      <c r="QI143" s="4"/>
      <c r="QJ143" s="5"/>
      <c r="QQ143" s="3"/>
      <c r="QS143" s="3"/>
      <c r="QU143" s="4"/>
      <c r="QV143" s="5"/>
      <c r="RC143" s="3"/>
      <c r="RE143" s="3"/>
      <c r="RG143" s="4"/>
      <c r="RH143" s="5"/>
      <c r="RO143" s="3"/>
      <c r="RQ143" s="3"/>
      <c r="RS143" s="4"/>
      <c r="RT143" s="5"/>
      <c r="SA143" s="3"/>
      <c r="SC143" s="3"/>
      <c r="SE143" s="4"/>
      <c r="SF143" s="5"/>
      <c r="SM143" s="3"/>
      <c r="SO143" s="3"/>
      <c r="SQ143" s="4"/>
      <c r="SR143" s="5"/>
      <c r="SY143" s="3"/>
      <c r="TA143" s="3"/>
      <c r="TC143" s="4"/>
      <c r="TD143" s="5"/>
      <c r="TK143" s="3"/>
      <c r="TM143" s="3"/>
      <c r="TO143" s="4"/>
      <c r="TP143" s="5"/>
      <c r="TW143" s="3"/>
      <c r="TY143" s="3"/>
      <c r="UA143" s="4"/>
      <c r="UB143" s="5"/>
      <c r="UI143" s="3"/>
      <c r="UK143" s="3"/>
      <c r="UM143" s="4"/>
      <c r="UN143" s="5"/>
      <c r="UU143" s="3"/>
      <c r="UW143" s="3"/>
      <c r="UY143" s="4"/>
      <c r="UZ143" s="5"/>
      <c r="VG143" s="3"/>
      <c r="VI143" s="3"/>
      <c r="VK143" s="4"/>
      <c r="VL143" s="5"/>
      <c r="VS143" s="3"/>
      <c r="VU143" s="3"/>
      <c r="VW143" s="4"/>
      <c r="VX143" s="5"/>
      <c r="WE143" s="3"/>
      <c r="WG143" s="3"/>
      <c r="WI143" s="4"/>
      <c r="WJ143" s="5"/>
      <c r="WQ143" s="3"/>
      <c r="WS143" s="3"/>
      <c r="WU143" s="4"/>
      <c r="WV143" s="5"/>
      <c r="XC143" s="3"/>
      <c r="XE143" s="3"/>
      <c r="XG143" s="4"/>
      <c r="XH143" s="5"/>
      <c r="XO143" s="3"/>
      <c r="XQ143" s="3"/>
      <c r="XS143" s="4"/>
      <c r="XT143" s="5"/>
      <c r="YA143" s="3"/>
      <c r="YC143" s="3"/>
      <c r="YE143" s="4"/>
      <c r="YF143" s="5"/>
      <c r="YM143" s="3"/>
      <c r="YO143" s="3"/>
      <c r="YQ143" s="4"/>
      <c r="YR143" s="5"/>
      <c r="YY143" s="3"/>
      <c r="ZA143" s="3"/>
      <c r="ZC143" s="4"/>
      <c r="ZD143" s="5"/>
      <c r="ZK143" s="3"/>
      <c r="ZM143" s="3"/>
      <c r="ZO143" s="4"/>
      <c r="ZP143" s="5"/>
      <c r="ZW143" s="3"/>
      <c r="ZY143" s="3"/>
      <c r="AAA143" s="4"/>
      <c r="AAB143" s="5"/>
      <c r="AAI143" s="3"/>
      <c r="AAK143" s="3"/>
      <c r="AAM143" s="4"/>
      <c r="AAN143" s="5"/>
      <c r="AAU143" s="3"/>
      <c r="AAW143" s="3"/>
      <c r="AAY143" s="4"/>
      <c r="AAZ143" s="5"/>
      <c r="ABG143" s="3"/>
      <c r="ABI143" s="3"/>
      <c r="ABK143" s="4"/>
      <c r="ABL143" s="5"/>
      <c r="ABS143" s="3"/>
      <c r="ABU143" s="3"/>
      <c r="ABW143" s="4"/>
      <c r="ABX143" s="5"/>
      <c r="ACE143" s="3"/>
      <c r="ACG143" s="3"/>
      <c r="ACI143" s="4"/>
      <c r="ACJ143" s="5"/>
      <c r="ACQ143" s="3"/>
      <c r="ACS143" s="3"/>
      <c r="ACU143" s="4"/>
      <c r="ACV143" s="5"/>
      <c r="ADC143" s="3"/>
      <c r="ADE143" s="3"/>
      <c r="ADG143" s="4"/>
      <c r="ADH143" s="5"/>
      <c r="ADO143" s="3"/>
      <c r="ADQ143" s="3"/>
      <c r="ADS143" s="4"/>
      <c r="ADT143" s="5"/>
      <c r="AEA143" s="3"/>
      <c r="AEC143" s="3"/>
      <c r="AEE143" s="4"/>
      <c r="AEF143" s="5"/>
      <c r="AEM143" s="3"/>
      <c r="AEO143" s="3"/>
      <c r="AEQ143" s="4"/>
      <c r="AER143" s="5"/>
      <c r="AEY143" s="3"/>
      <c r="AFA143" s="3"/>
      <c r="AFC143" s="4"/>
      <c r="AFD143" s="5"/>
      <c r="AFK143" s="3"/>
      <c r="AFM143" s="3"/>
      <c r="AFO143" s="4"/>
      <c r="AFP143" s="5"/>
      <c r="AFW143" s="3"/>
      <c r="AFY143" s="3"/>
      <c r="AGA143" s="4"/>
      <c r="AGB143" s="5"/>
      <c r="AGI143" s="3"/>
      <c r="AGK143" s="3"/>
      <c r="AGM143" s="4"/>
      <c r="AGN143" s="5"/>
      <c r="AGU143" s="3"/>
      <c r="AGW143" s="3"/>
      <c r="AGY143" s="4"/>
      <c r="AGZ143" s="5"/>
      <c r="AHG143" s="3"/>
      <c r="AHI143" s="3"/>
      <c r="AHK143" s="4"/>
      <c r="AHL143" s="5"/>
      <c r="AHS143" s="3"/>
      <c r="AHU143" s="3"/>
      <c r="AHW143" s="4"/>
      <c r="AHX143" s="5"/>
      <c r="AIE143" s="3"/>
      <c r="AIG143" s="3"/>
      <c r="AII143" s="4"/>
      <c r="AIJ143" s="5"/>
      <c r="AIQ143" s="3"/>
      <c r="AIS143" s="3"/>
      <c r="AIU143" s="4"/>
      <c r="AIV143" s="5"/>
      <c r="AJC143" s="3"/>
      <c r="AJE143" s="3"/>
      <c r="AJG143" s="4"/>
      <c r="AJH143" s="5"/>
      <c r="AJO143" s="3"/>
      <c r="AJQ143" s="3"/>
      <c r="AJS143" s="4"/>
      <c r="AJT143" s="5"/>
      <c r="AKA143" s="3"/>
      <c r="AKC143" s="3"/>
      <c r="AKE143" s="4"/>
      <c r="AKF143" s="5"/>
      <c r="AKM143" s="3"/>
      <c r="AKO143" s="3"/>
      <c r="AKQ143" s="4"/>
      <c r="AKR143" s="5"/>
      <c r="AKY143" s="3"/>
      <c r="ALA143" s="3"/>
      <c r="ALC143" s="4"/>
      <c r="ALD143" s="5"/>
      <c r="ALK143" s="3"/>
      <c r="ALM143" s="3"/>
      <c r="ALO143" s="4"/>
      <c r="ALP143" s="5"/>
      <c r="ALW143" s="3"/>
      <c r="ALY143" s="3"/>
      <c r="AMA143" s="4"/>
      <c r="AMB143" s="5"/>
      <c r="AMI143" s="3"/>
      <c r="AMK143" s="3"/>
      <c r="AMM143" s="4"/>
      <c r="AMN143" s="5"/>
      <c r="AMU143" s="3"/>
      <c r="AMW143" s="3"/>
      <c r="AMY143" s="4"/>
      <c r="AMZ143" s="5"/>
      <c r="ANG143" s="3"/>
      <c r="ANI143" s="3"/>
      <c r="ANK143" s="4"/>
      <c r="ANL143" s="5"/>
      <c r="ANS143" s="3"/>
      <c r="ANU143" s="3"/>
      <c r="ANW143" s="4"/>
      <c r="ANX143" s="5"/>
      <c r="AOE143" s="3"/>
      <c r="AOG143" s="3"/>
      <c r="AOI143" s="4"/>
      <c r="AOJ143" s="5"/>
      <c r="AOQ143" s="3"/>
      <c r="AOS143" s="3"/>
      <c r="AOU143" s="4"/>
      <c r="AOV143" s="5"/>
      <c r="APC143" s="3"/>
      <c r="APE143" s="3"/>
      <c r="APG143" s="4"/>
      <c r="APH143" s="5"/>
      <c r="APO143" s="3"/>
      <c r="APQ143" s="3"/>
      <c r="APS143" s="4"/>
      <c r="APT143" s="5"/>
      <c r="AQA143" s="3"/>
      <c r="AQC143" s="3"/>
      <c r="AQE143" s="4"/>
      <c r="AQF143" s="5"/>
      <c r="AQM143" s="3"/>
      <c r="AQO143" s="3"/>
      <c r="AQQ143" s="4"/>
      <c r="AQR143" s="5"/>
      <c r="AQY143" s="3"/>
      <c r="ARA143" s="3"/>
      <c r="ARC143" s="4"/>
      <c r="ARD143" s="5"/>
      <c r="ARK143" s="3"/>
      <c r="ARM143" s="3"/>
      <c r="ARO143" s="4"/>
      <c r="ARP143" s="5"/>
      <c r="ARW143" s="3"/>
      <c r="ARY143" s="3"/>
      <c r="ASA143" s="4"/>
      <c r="ASB143" s="5"/>
      <c r="ASI143" s="3"/>
      <c r="ASK143" s="3"/>
      <c r="ASM143" s="4"/>
      <c r="ASN143" s="5"/>
      <c r="ASU143" s="3"/>
      <c r="ASW143" s="3"/>
      <c r="ASY143" s="4"/>
      <c r="ASZ143" s="5"/>
      <c r="ATG143" s="3"/>
      <c r="ATI143" s="3"/>
      <c r="ATK143" s="4"/>
      <c r="ATL143" s="5"/>
      <c r="ATS143" s="3"/>
      <c r="ATU143" s="3"/>
      <c r="ATW143" s="4"/>
      <c r="ATX143" s="5"/>
      <c r="AUE143" s="3"/>
      <c r="AUG143" s="3"/>
      <c r="AUI143" s="4"/>
      <c r="AUJ143" s="5"/>
      <c r="AUQ143" s="3"/>
      <c r="AUS143" s="3"/>
      <c r="AUU143" s="4"/>
      <c r="AUV143" s="5"/>
      <c r="AVC143" s="3"/>
      <c r="AVE143" s="3"/>
      <c r="AVG143" s="4"/>
      <c r="AVH143" s="5"/>
      <c r="AVO143" s="3"/>
      <c r="AVQ143" s="3"/>
      <c r="AVS143" s="4"/>
      <c r="AVT143" s="5"/>
      <c r="AWA143" s="3"/>
      <c r="AWC143" s="3"/>
      <c r="AWE143" s="4"/>
      <c r="AWF143" s="5"/>
      <c r="AWM143" s="3"/>
      <c r="AWO143" s="3"/>
      <c r="AWQ143" s="4"/>
      <c r="AWR143" s="5"/>
      <c r="AWY143" s="3"/>
      <c r="AXA143" s="3"/>
      <c r="AXC143" s="4"/>
      <c r="AXD143" s="5"/>
      <c r="AXK143" s="3"/>
      <c r="AXM143" s="3"/>
      <c r="AXO143" s="4"/>
      <c r="AXP143" s="5"/>
      <c r="AXW143" s="3"/>
      <c r="AXY143" s="3"/>
      <c r="AYA143" s="4"/>
      <c r="AYB143" s="5"/>
      <c r="AYI143" s="3"/>
      <c r="AYK143" s="3"/>
      <c r="AYM143" s="4"/>
      <c r="AYN143" s="5"/>
      <c r="AYU143" s="3"/>
      <c r="AYW143" s="3"/>
      <c r="AYY143" s="4"/>
      <c r="AYZ143" s="5"/>
      <c r="AZG143" s="3"/>
      <c r="AZI143" s="3"/>
      <c r="AZK143" s="4"/>
      <c r="AZL143" s="5"/>
      <c r="AZS143" s="3"/>
      <c r="AZU143" s="3"/>
      <c r="AZW143" s="4"/>
      <c r="AZX143" s="5"/>
      <c r="BAE143" s="3"/>
      <c r="BAG143" s="3"/>
      <c r="BAI143" s="4"/>
      <c r="BAJ143" s="5"/>
      <c r="BAQ143" s="3"/>
      <c r="BAS143" s="3"/>
      <c r="BAU143" s="4"/>
      <c r="BAV143" s="5"/>
      <c r="BBC143" s="3"/>
      <c r="BBE143" s="3"/>
      <c r="BBG143" s="4"/>
      <c r="BBH143" s="5"/>
      <c r="BBO143" s="3"/>
      <c r="BBQ143" s="3"/>
      <c r="BBS143" s="4"/>
      <c r="BBT143" s="5"/>
      <c r="BCA143" s="3"/>
      <c r="BCC143" s="3"/>
      <c r="BCE143" s="4"/>
      <c r="BCF143" s="5"/>
      <c r="BCM143" s="3"/>
      <c r="BCO143" s="3"/>
      <c r="BCQ143" s="4"/>
      <c r="BCR143" s="5"/>
      <c r="BCY143" s="3"/>
      <c r="BDA143" s="3"/>
      <c r="BDC143" s="4"/>
      <c r="BDD143" s="5"/>
      <c r="BDK143" s="3"/>
      <c r="BDM143" s="3"/>
      <c r="BDO143" s="4"/>
      <c r="BDP143" s="5"/>
      <c r="BDW143" s="3"/>
      <c r="BDY143" s="3"/>
      <c r="BEA143" s="4"/>
      <c r="BEB143" s="5"/>
      <c r="BEI143" s="3"/>
      <c r="BEK143" s="3"/>
      <c r="BEM143" s="4"/>
      <c r="BEN143" s="5"/>
      <c r="BEU143" s="3"/>
      <c r="BEW143" s="3"/>
      <c r="BEY143" s="4"/>
      <c r="BEZ143" s="5"/>
      <c r="BFG143" s="3"/>
      <c r="BFI143" s="3"/>
      <c r="BFK143" s="4"/>
      <c r="BFL143" s="5"/>
      <c r="BFS143" s="3"/>
      <c r="BFU143" s="3"/>
      <c r="BFW143" s="4"/>
      <c r="BFX143" s="5"/>
      <c r="BGE143" s="3"/>
      <c r="BGG143" s="3"/>
      <c r="BGI143" s="4"/>
      <c r="BGJ143" s="5"/>
      <c r="BGQ143" s="3"/>
      <c r="BGS143" s="3"/>
      <c r="BGU143" s="4"/>
      <c r="BGV143" s="5"/>
      <c r="BHC143" s="3"/>
      <c r="BHE143" s="3"/>
      <c r="BHG143" s="4"/>
      <c r="BHH143" s="5"/>
      <c r="BHO143" s="3"/>
      <c r="BHQ143" s="3"/>
      <c r="BHS143" s="4"/>
      <c r="BHT143" s="5"/>
      <c r="BIA143" s="3"/>
      <c r="BIC143" s="3"/>
      <c r="BIE143" s="4"/>
      <c r="BIF143" s="5"/>
      <c r="BIM143" s="3"/>
      <c r="BIO143" s="3"/>
      <c r="BIQ143" s="4"/>
      <c r="BIR143" s="5"/>
      <c r="BIY143" s="3"/>
      <c r="BJA143" s="3"/>
      <c r="BJC143" s="4"/>
      <c r="BJD143" s="5"/>
      <c r="BJK143" s="3"/>
      <c r="BJM143" s="3"/>
      <c r="BJO143" s="4"/>
      <c r="BJP143" s="5"/>
      <c r="BJW143" s="3"/>
      <c r="BJY143" s="3"/>
      <c r="BKA143" s="4"/>
      <c r="BKB143" s="5"/>
      <c r="BKI143" s="3"/>
      <c r="BKK143" s="3"/>
      <c r="BKM143" s="4"/>
      <c r="BKN143" s="5"/>
      <c r="BKU143" s="3"/>
      <c r="BKW143" s="3"/>
      <c r="BKY143" s="4"/>
      <c r="BKZ143" s="5"/>
      <c r="BLG143" s="3"/>
      <c r="BLI143" s="3"/>
      <c r="BLK143" s="4"/>
      <c r="BLL143" s="5"/>
      <c r="BLS143" s="3"/>
      <c r="BLU143" s="3"/>
      <c r="BLW143" s="4"/>
      <c r="BLX143" s="5"/>
      <c r="BME143" s="3"/>
      <c r="BMG143" s="3"/>
      <c r="BMI143" s="4"/>
      <c r="BMJ143" s="5"/>
      <c r="BMQ143" s="3"/>
      <c r="BMS143" s="3"/>
      <c r="BMU143" s="4"/>
      <c r="BMV143" s="5"/>
      <c r="BNC143" s="3"/>
      <c r="BNE143" s="3"/>
      <c r="BNG143" s="4"/>
      <c r="BNH143" s="5"/>
      <c r="BNO143" s="3"/>
      <c r="BNQ143" s="3"/>
      <c r="BNS143" s="4"/>
      <c r="BNT143" s="5"/>
      <c r="BOA143" s="3"/>
      <c r="BOC143" s="3"/>
      <c r="BOE143" s="4"/>
      <c r="BOF143" s="5"/>
      <c r="BOM143" s="3"/>
      <c r="BOO143" s="3"/>
      <c r="BOQ143" s="4"/>
      <c r="BOR143" s="5"/>
      <c r="BOY143" s="3"/>
      <c r="BPA143" s="3"/>
      <c r="BPC143" s="4"/>
      <c r="BPD143" s="5"/>
      <c r="BPK143" s="3"/>
      <c r="BPM143" s="3"/>
      <c r="BPO143" s="4"/>
      <c r="BPP143" s="5"/>
      <c r="BPW143" s="3"/>
      <c r="BPY143" s="3"/>
      <c r="BQA143" s="4"/>
      <c r="BQB143" s="5"/>
      <c r="BQI143" s="3"/>
      <c r="BQK143" s="3"/>
      <c r="BQM143" s="4"/>
      <c r="BQN143" s="5"/>
      <c r="BQU143" s="3"/>
      <c r="BQW143" s="3"/>
      <c r="BQY143" s="4"/>
      <c r="BQZ143" s="5"/>
      <c r="BRG143" s="3"/>
      <c r="BRI143" s="3"/>
      <c r="BRK143" s="4"/>
      <c r="BRL143" s="5"/>
      <c r="BRS143" s="3"/>
      <c r="BRU143" s="3"/>
      <c r="BRW143" s="4"/>
      <c r="BRX143" s="5"/>
      <c r="BSE143" s="3"/>
      <c r="BSG143" s="3"/>
      <c r="BSI143" s="4"/>
      <c r="BSJ143" s="5"/>
      <c r="BSQ143" s="3"/>
      <c r="BSS143" s="3"/>
      <c r="BSU143" s="4"/>
      <c r="BSV143" s="5"/>
      <c r="BTC143" s="3"/>
      <c r="BTE143" s="3"/>
      <c r="BTG143" s="4"/>
      <c r="BTH143" s="5"/>
      <c r="BTO143" s="3"/>
      <c r="BTQ143" s="3"/>
      <c r="BTS143" s="4"/>
      <c r="BTT143" s="5"/>
      <c r="BUA143" s="3"/>
      <c r="BUC143" s="3"/>
      <c r="BUE143" s="4"/>
      <c r="BUF143" s="5"/>
      <c r="BUM143" s="3"/>
      <c r="BUO143" s="3"/>
      <c r="BUQ143" s="4"/>
      <c r="BUR143" s="5"/>
      <c r="BUY143" s="3"/>
      <c r="BVA143" s="3"/>
      <c r="BVC143" s="4"/>
      <c r="BVD143" s="5"/>
      <c r="BVK143" s="3"/>
      <c r="BVM143" s="3"/>
      <c r="BVO143" s="4"/>
      <c r="BVP143" s="5"/>
      <c r="BVW143" s="3"/>
      <c r="BVY143" s="3"/>
      <c r="BWA143" s="4"/>
      <c r="BWB143" s="5"/>
      <c r="BWI143" s="3"/>
      <c r="BWK143" s="3"/>
      <c r="BWM143" s="4"/>
      <c r="BWN143" s="5"/>
      <c r="BWU143" s="3"/>
      <c r="BWW143" s="3"/>
      <c r="BWY143" s="4"/>
      <c r="BWZ143" s="5"/>
      <c r="BXG143" s="3"/>
      <c r="BXI143" s="3"/>
      <c r="BXK143" s="4"/>
      <c r="BXL143" s="5"/>
      <c r="BXS143" s="3"/>
      <c r="BXU143" s="3"/>
      <c r="BXW143" s="4"/>
      <c r="BXX143" s="5"/>
      <c r="BYE143" s="3"/>
      <c r="BYG143" s="3"/>
      <c r="BYI143" s="4"/>
      <c r="BYJ143" s="5"/>
      <c r="BYQ143" s="3"/>
      <c r="BYS143" s="3"/>
      <c r="BYU143" s="4"/>
      <c r="BYV143" s="5"/>
      <c r="BZC143" s="3"/>
      <c r="BZE143" s="3"/>
      <c r="BZG143" s="4"/>
      <c r="BZH143" s="5"/>
      <c r="BZO143" s="3"/>
      <c r="BZQ143" s="3"/>
      <c r="BZS143" s="4"/>
      <c r="BZT143" s="5"/>
      <c r="CAA143" s="3"/>
      <c r="CAC143" s="3"/>
      <c r="CAE143" s="4"/>
      <c r="CAF143" s="5"/>
      <c r="CAM143" s="3"/>
      <c r="CAO143" s="3"/>
      <c r="CAQ143" s="4"/>
      <c r="CAR143" s="5"/>
      <c r="CAY143" s="3"/>
      <c r="CBA143" s="3"/>
      <c r="CBC143" s="4"/>
      <c r="CBD143" s="5"/>
      <c r="CBK143" s="3"/>
      <c r="CBM143" s="3"/>
      <c r="CBO143" s="4"/>
      <c r="CBP143" s="5"/>
      <c r="CBW143" s="3"/>
      <c r="CBY143" s="3"/>
      <c r="CCA143" s="4"/>
      <c r="CCB143" s="5"/>
      <c r="CCI143" s="3"/>
      <c r="CCK143" s="3"/>
      <c r="CCM143" s="4"/>
      <c r="CCN143" s="5"/>
      <c r="CCU143" s="3"/>
      <c r="CCW143" s="3"/>
      <c r="CCY143" s="4"/>
      <c r="CCZ143" s="5"/>
      <c r="CDG143" s="3"/>
      <c r="CDI143" s="3"/>
      <c r="CDK143" s="4"/>
      <c r="CDL143" s="5"/>
      <c r="CDS143" s="3"/>
      <c r="CDU143" s="3"/>
      <c r="CDW143" s="4"/>
      <c r="CDX143" s="5"/>
      <c r="CEE143" s="3"/>
      <c r="CEG143" s="3"/>
      <c r="CEI143" s="4"/>
      <c r="CEJ143" s="5"/>
      <c r="CEQ143" s="3"/>
      <c r="CES143" s="3"/>
      <c r="CEU143" s="4"/>
      <c r="CEV143" s="5"/>
      <c r="CFC143" s="3"/>
      <c r="CFE143" s="3"/>
      <c r="CFG143" s="4"/>
      <c r="CFH143" s="5"/>
      <c r="CFO143" s="3"/>
      <c r="CFQ143" s="3"/>
      <c r="CFS143" s="4"/>
      <c r="CFT143" s="5"/>
      <c r="CGA143" s="3"/>
      <c r="CGC143" s="3"/>
      <c r="CGE143" s="4"/>
      <c r="CGF143" s="5"/>
      <c r="CGM143" s="3"/>
      <c r="CGO143" s="3"/>
      <c r="CGQ143" s="4"/>
      <c r="CGR143" s="5"/>
      <c r="CGY143" s="3"/>
      <c r="CHA143" s="3"/>
      <c r="CHC143" s="4"/>
      <c r="CHD143" s="5"/>
      <c r="CHK143" s="3"/>
      <c r="CHM143" s="3"/>
      <c r="CHO143" s="4"/>
      <c r="CHP143" s="5"/>
      <c r="CHW143" s="3"/>
      <c r="CHY143" s="3"/>
      <c r="CIA143" s="4"/>
      <c r="CIB143" s="5"/>
      <c r="CII143" s="3"/>
      <c r="CIK143" s="3"/>
      <c r="CIM143" s="4"/>
      <c r="CIN143" s="5"/>
      <c r="CIU143" s="3"/>
      <c r="CIW143" s="3"/>
      <c r="CIY143" s="4"/>
      <c r="CIZ143" s="5"/>
      <c r="CJG143" s="3"/>
      <c r="CJI143" s="3"/>
      <c r="CJK143" s="4"/>
      <c r="CJL143" s="5"/>
      <c r="CJS143" s="3"/>
      <c r="CJU143" s="3"/>
      <c r="CJW143" s="4"/>
      <c r="CJX143" s="5"/>
      <c r="CKE143" s="3"/>
      <c r="CKG143" s="3"/>
      <c r="CKI143" s="4"/>
      <c r="CKJ143" s="5"/>
      <c r="CKQ143" s="3"/>
      <c r="CKS143" s="3"/>
      <c r="CKU143" s="4"/>
      <c r="CKV143" s="5"/>
      <c r="CLC143" s="3"/>
      <c r="CLE143" s="3"/>
      <c r="CLG143" s="4"/>
      <c r="CLH143" s="5"/>
      <c r="CLO143" s="3"/>
      <c r="CLQ143" s="3"/>
      <c r="CLS143" s="4"/>
      <c r="CLT143" s="5"/>
      <c r="CMA143" s="3"/>
      <c r="CMC143" s="3"/>
      <c r="CME143" s="4"/>
      <c r="CMF143" s="5"/>
      <c r="CMM143" s="3"/>
      <c r="CMO143" s="3"/>
      <c r="CMQ143" s="4"/>
      <c r="CMR143" s="5"/>
      <c r="CMY143" s="3"/>
      <c r="CNA143" s="3"/>
      <c r="CNC143" s="4"/>
      <c r="CND143" s="5"/>
      <c r="CNK143" s="3"/>
      <c r="CNM143" s="3"/>
      <c r="CNO143" s="4"/>
      <c r="CNP143" s="5"/>
      <c r="CNW143" s="3"/>
      <c r="CNY143" s="3"/>
      <c r="COA143" s="4"/>
      <c r="COB143" s="5"/>
      <c r="COI143" s="3"/>
      <c r="COK143" s="3"/>
      <c r="COM143" s="4"/>
      <c r="CON143" s="5"/>
      <c r="COU143" s="3"/>
      <c r="COW143" s="3"/>
      <c r="COY143" s="4"/>
      <c r="COZ143" s="5"/>
      <c r="CPG143" s="3"/>
      <c r="CPI143" s="3"/>
      <c r="CPK143" s="4"/>
      <c r="CPL143" s="5"/>
      <c r="CPS143" s="3"/>
      <c r="CPU143" s="3"/>
      <c r="CPW143" s="4"/>
      <c r="CPX143" s="5"/>
      <c r="CQE143" s="3"/>
      <c r="CQG143" s="3"/>
      <c r="CQI143" s="4"/>
      <c r="CQJ143" s="5"/>
      <c r="CQQ143" s="3"/>
      <c r="CQS143" s="3"/>
      <c r="CQU143" s="4"/>
      <c r="CQV143" s="5"/>
      <c r="CRC143" s="3"/>
      <c r="CRE143" s="3"/>
      <c r="CRG143" s="4"/>
      <c r="CRH143" s="5"/>
      <c r="CRO143" s="3"/>
      <c r="CRQ143" s="3"/>
      <c r="CRS143" s="4"/>
      <c r="CRT143" s="5"/>
      <c r="CSA143" s="3"/>
      <c r="CSC143" s="3"/>
      <c r="CSE143" s="4"/>
      <c r="CSF143" s="5"/>
      <c r="CSM143" s="3"/>
      <c r="CSO143" s="3"/>
      <c r="CSQ143" s="4"/>
      <c r="CSR143" s="5"/>
      <c r="CSY143" s="3"/>
      <c r="CTA143" s="3"/>
      <c r="CTC143" s="4"/>
      <c r="CTD143" s="5"/>
      <c r="CTK143" s="3"/>
      <c r="CTM143" s="3"/>
      <c r="CTO143" s="4"/>
      <c r="CTP143" s="5"/>
      <c r="CTW143" s="3"/>
      <c r="CTY143" s="3"/>
      <c r="CUA143" s="4"/>
      <c r="CUB143" s="5"/>
      <c r="CUI143" s="3"/>
      <c r="CUK143" s="3"/>
      <c r="CUM143" s="4"/>
      <c r="CUN143" s="5"/>
      <c r="CUU143" s="3"/>
      <c r="CUW143" s="3"/>
      <c r="CUY143" s="4"/>
      <c r="CUZ143" s="5"/>
      <c r="CVG143" s="3"/>
      <c r="CVI143" s="3"/>
      <c r="CVK143" s="4"/>
      <c r="CVL143" s="5"/>
      <c r="CVS143" s="3"/>
      <c r="CVU143" s="3"/>
      <c r="CVW143" s="4"/>
      <c r="CVX143" s="5"/>
      <c r="CWE143" s="3"/>
      <c r="CWG143" s="3"/>
      <c r="CWI143" s="4"/>
      <c r="CWJ143" s="5"/>
      <c r="CWQ143" s="3"/>
      <c r="CWS143" s="3"/>
      <c r="CWU143" s="4"/>
      <c r="CWV143" s="5"/>
      <c r="CXC143" s="3"/>
      <c r="CXE143" s="3"/>
      <c r="CXG143" s="4"/>
      <c r="CXH143" s="5"/>
      <c r="CXO143" s="3"/>
      <c r="CXQ143" s="3"/>
      <c r="CXS143" s="4"/>
      <c r="CXT143" s="5"/>
      <c r="CYA143" s="3"/>
      <c r="CYC143" s="3"/>
      <c r="CYE143" s="4"/>
      <c r="CYF143" s="5"/>
      <c r="CYM143" s="3"/>
      <c r="CYO143" s="3"/>
      <c r="CYQ143" s="4"/>
      <c r="CYR143" s="5"/>
      <c r="CYY143" s="3"/>
      <c r="CZA143" s="3"/>
      <c r="CZC143" s="4"/>
      <c r="CZD143" s="5"/>
      <c r="CZK143" s="3"/>
      <c r="CZM143" s="3"/>
      <c r="CZO143" s="4"/>
      <c r="CZP143" s="5"/>
      <c r="CZW143" s="3"/>
      <c r="CZY143" s="3"/>
      <c r="DAA143" s="4"/>
      <c r="DAB143" s="5"/>
      <c r="DAI143" s="3"/>
      <c r="DAK143" s="3"/>
      <c r="DAM143" s="4"/>
      <c r="DAN143" s="5"/>
      <c r="DAU143" s="3"/>
      <c r="DAW143" s="3"/>
      <c r="DAY143" s="4"/>
      <c r="DAZ143" s="5"/>
      <c r="DBG143" s="3"/>
      <c r="DBI143" s="3"/>
      <c r="DBK143" s="4"/>
      <c r="DBL143" s="5"/>
      <c r="DBS143" s="3"/>
      <c r="DBU143" s="3"/>
      <c r="DBW143" s="4"/>
      <c r="DBX143" s="5"/>
      <c r="DCE143" s="3"/>
      <c r="DCG143" s="3"/>
      <c r="DCI143" s="4"/>
      <c r="DCJ143" s="5"/>
      <c r="DCQ143" s="3"/>
      <c r="DCS143" s="3"/>
      <c r="DCU143" s="4"/>
      <c r="DCV143" s="5"/>
      <c r="DDC143" s="3"/>
      <c r="DDE143" s="3"/>
      <c r="DDG143" s="4"/>
      <c r="DDH143" s="5"/>
      <c r="DDO143" s="3"/>
      <c r="DDQ143" s="3"/>
      <c r="DDS143" s="4"/>
      <c r="DDT143" s="5"/>
      <c r="DEA143" s="3"/>
      <c r="DEC143" s="3"/>
      <c r="DEE143" s="4"/>
      <c r="DEF143" s="5"/>
      <c r="DEM143" s="3"/>
      <c r="DEO143" s="3"/>
      <c r="DEQ143" s="4"/>
      <c r="DER143" s="5"/>
      <c r="DEY143" s="3"/>
      <c r="DFA143" s="3"/>
      <c r="DFC143" s="4"/>
      <c r="DFD143" s="5"/>
      <c r="DFK143" s="3"/>
      <c r="DFM143" s="3"/>
      <c r="DFO143" s="4"/>
      <c r="DFP143" s="5"/>
      <c r="DFW143" s="3"/>
      <c r="DFY143" s="3"/>
      <c r="DGA143" s="4"/>
      <c r="DGB143" s="5"/>
      <c r="DGI143" s="3"/>
      <c r="DGK143" s="3"/>
      <c r="DGM143" s="4"/>
      <c r="DGN143" s="5"/>
      <c r="DGU143" s="3"/>
      <c r="DGW143" s="3"/>
      <c r="DGY143" s="4"/>
      <c r="DGZ143" s="5"/>
      <c r="DHG143" s="3"/>
      <c r="DHI143" s="3"/>
      <c r="DHK143" s="4"/>
      <c r="DHL143" s="5"/>
      <c r="DHS143" s="3"/>
      <c r="DHU143" s="3"/>
      <c r="DHW143" s="4"/>
      <c r="DHX143" s="5"/>
      <c r="DIE143" s="3"/>
      <c r="DIG143" s="3"/>
      <c r="DII143" s="4"/>
      <c r="DIJ143" s="5"/>
      <c r="DIQ143" s="3"/>
      <c r="DIS143" s="3"/>
      <c r="DIU143" s="4"/>
      <c r="DIV143" s="5"/>
      <c r="DJC143" s="3"/>
      <c r="DJE143" s="3"/>
      <c r="DJG143" s="4"/>
      <c r="DJH143" s="5"/>
      <c r="DJO143" s="3"/>
      <c r="DJQ143" s="3"/>
      <c r="DJS143" s="4"/>
      <c r="DJT143" s="5"/>
      <c r="DKA143" s="3"/>
      <c r="DKC143" s="3"/>
      <c r="DKE143" s="4"/>
      <c r="DKF143" s="5"/>
      <c r="DKM143" s="3"/>
      <c r="DKO143" s="3"/>
      <c r="DKQ143" s="4"/>
      <c r="DKR143" s="5"/>
      <c r="DKY143" s="3"/>
      <c r="DLA143" s="3"/>
      <c r="DLC143" s="4"/>
      <c r="DLD143" s="5"/>
      <c r="DLK143" s="3"/>
      <c r="DLM143" s="3"/>
      <c r="DLO143" s="4"/>
      <c r="DLP143" s="5"/>
      <c r="DLW143" s="3"/>
      <c r="DLY143" s="3"/>
      <c r="DMA143" s="4"/>
      <c r="DMB143" s="5"/>
      <c r="DMI143" s="3"/>
      <c r="DMK143" s="3"/>
      <c r="DMM143" s="4"/>
      <c r="DMN143" s="5"/>
      <c r="DMU143" s="3"/>
      <c r="DMW143" s="3"/>
      <c r="DMY143" s="4"/>
      <c r="DMZ143" s="5"/>
      <c r="DNG143" s="3"/>
      <c r="DNI143" s="3"/>
      <c r="DNK143" s="4"/>
      <c r="DNL143" s="5"/>
      <c r="DNS143" s="3"/>
      <c r="DNU143" s="3"/>
      <c r="DNW143" s="4"/>
      <c r="DNX143" s="5"/>
      <c r="DOE143" s="3"/>
      <c r="DOG143" s="3"/>
      <c r="DOI143" s="4"/>
      <c r="DOJ143" s="5"/>
      <c r="DOQ143" s="3"/>
      <c r="DOS143" s="3"/>
      <c r="DOU143" s="4"/>
      <c r="DOV143" s="5"/>
      <c r="DPC143" s="3"/>
      <c r="DPE143" s="3"/>
      <c r="DPG143" s="4"/>
      <c r="DPH143" s="5"/>
      <c r="DPO143" s="3"/>
      <c r="DPQ143" s="3"/>
      <c r="DPS143" s="4"/>
      <c r="DPT143" s="5"/>
      <c r="DQA143" s="3"/>
      <c r="DQC143" s="3"/>
      <c r="DQE143" s="4"/>
      <c r="DQF143" s="5"/>
      <c r="DQM143" s="3"/>
      <c r="DQO143" s="3"/>
      <c r="DQQ143" s="4"/>
      <c r="DQR143" s="5"/>
      <c r="DQY143" s="3"/>
      <c r="DRA143" s="3"/>
      <c r="DRC143" s="4"/>
      <c r="DRD143" s="5"/>
      <c r="DRK143" s="3"/>
      <c r="DRM143" s="3"/>
      <c r="DRO143" s="4"/>
      <c r="DRP143" s="5"/>
      <c r="DRW143" s="3"/>
      <c r="DRY143" s="3"/>
      <c r="DSA143" s="4"/>
      <c r="DSB143" s="5"/>
      <c r="DSI143" s="3"/>
      <c r="DSK143" s="3"/>
      <c r="DSM143" s="4"/>
      <c r="DSN143" s="5"/>
      <c r="DSU143" s="3"/>
      <c r="DSW143" s="3"/>
      <c r="DSY143" s="4"/>
      <c r="DSZ143" s="5"/>
      <c r="DTG143" s="3"/>
      <c r="DTI143" s="3"/>
      <c r="DTK143" s="4"/>
      <c r="DTL143" s="5"/>
      <c r="DTS143" s="3"/>
      <c r="DTU143" s="3"/>
      <c r="DTW143" s="4"/>
      <c r="DTX143" s="5"/>
      <c r="DUE143" s="3"/>
      <c r="DUG143" s="3"/>
      <c r="DUI143" s="4"/>
      <c r="DUJ143" s="5"/>
      <c r="DUQ143" s="3"/>
      <c r="DUS143" s="3"/>
      <c r="DUU143" s="4"/>
      <c r="DUV143" s="5"/>
      <c r="DVC143" s="3"/>
      <c r="DVE143" s="3"/>
      <c r="DVG143" s="4"/>
      <c r="DVH143" s="5"/>
      <c r="DVO143" s="3"/>
      <c r="DVQ143" s="3"/>
      <c r="DVS143" s="4"/>
      <c r="DVT143" s="5"/>
      <c r="DWA143" s="3"/>
      <c r="DWC143" s="3"/>
      <c r="DWE143" s="4"/>
      <c r="DWF143" s="5"/>
      <c r="DWM143" s="3"/>
      <c r="DWO143" s="3"/>
      <c r="DWQ143" s="4"/>
      <c r="DWR143" s="5"/>
      <c r="DWY143" s="3"/>
      <c r="DXA143" s="3"/>
      <c r="DXC143" s="4"/>
      <c r="DXD143" s="5"/>
      <c r="DXK143" s="3"/>
      <c r="DXM143" s="3"/>
      <c r="DXO143" s="4"/>
      <c r="DXP143" s="5"/>
      <c r="DXW143" s="3"/>
      <c r="DXY143" s="3"/>
      <c r="DYA143" s="4"/>
      <c r="DYB143" s="5"/>
      <c r="DYI143" s="3"/>
      <c r="DYK143" s="3"/>
      <c r="DYM143" s="4"/>
      <c r="DYN143" s="5"/>
      <c r="DYU143" s="3"/>
      <c r="DYW143" s="3"/>
      <c r="DYY143" s="4"/>
      <c r="DYZ143" s="5"/>
      <c r="DZG143" s="3"/>
      <c r="DZI143" s="3"/>
      <c r="DZK143" s="4"/>
      <c r="DZL143" s="5"/>
      <c r="DZS143" s="3"/>
      <c r="DZU143" s="3"/>
      <c r="DZW143" s="4"/>
      <c r="DZX143" s="5"/>
      <c r="EAE143" s="3"/>
      <c r="EAG143" s="3"/>
      <c r="EAI143" s="4"/>
      <c r="EAJ143" s="5"/>
      <c r="EAQ143" s="3"/>
      <c r="EAS143" s="3"/>
      <c r="EAU143" s="4"/>
      <c r="EAV143" s="5"/>
      <c r="EBC143" s="3"/>
      <c r="EBE143" s="3"/>
      <c r="EBG143" s="4"/>
      <c r="EBH143" s="5"/>
      <c r="EBO143" s="3"/>
      <c r="EBQ143" s="3"/>
      <c r="EBS143" s="4"/>
      <c r="EBT143" s="5"/>
      <c r="ECA143" s="3"/>
      <c r="ECC143" s="3"/>
      <c r="ECE143" s="4"/>
      <c r="ECF143" s="5"/>
      <c r="ECM143" s="3"/>
      <c r="ECO143" s="3"/>
      <c r="ECQ143" s="4"/>
      <c r="ECR143" s="5"/>
      <c r="ECY143" s="3"/>
      <c r="EDA143" s="3"/>
      <c r="EDC143" s="4"/>
      <c r="EDD143" s="5"/>
      <c r="EDK143" s="3"/>
      <c r="EDM143" s="3"/>
      <c r="EDO143" s="4"/>
      <c r="EDP143" s="5"/>
      <c r="EDW143" s="3"/>
      <c r="EDY143" s="3"/>
      <c r="EEA143" s="4"/>
      <c r="EEB143" s="5"/>
      <c r="EEI143" s="3"/>
      <c r="EEK143" s="3"/>
      <c r="EEM143" s="4"/>
      <c r="EEN143" s="5"/>
      <c r="EEU143" s="3"/>
      <c r="EEW143" s="3"/>
      <c r="EEY143" s="4"/>
      <c r="EEZ143" s="5"/>
      <c r="EFG143" s="3"/>
      <c r="EFI143" s="3"/>
      <c r="EFK143" s="4"/>
      <c r="EFL143" s="5"/>
      <c r="EFS143" s="3"/>
      <c r="EFU143" s="3"/>
      <c r="EFW143" s="4"/>
      <c r="EFX143" s="5"/>
      <c r="EGE143" s="3"/>
      <c r="EGG143" s="3"/>
      <c r="EGI143" s="4"/>
      <c r="EGJ143" s="5"/>
      <c r="EGQ143" s="3"/>
      <c r="EGS143" s="3"/>
      <c r="EGU143" s="4"/>
      <c r="EGV143" s="5"/>
      <c r="EHC143" s="3"/>
      <c r="EHE143" s="3"/>
      <c r="EHG143" s="4"/>
      <c r="EHH143" s="5"/>
      <c r="EHO143" s="3"/>
      <c r="EHQ143" s="3"/>
      <c r="EHS143" s="4"/>
      <c r="EHT143" s="5"/>
      <c r="EIA143" s="3"/>
      <c r="EIC143" s="3"/>
      <c r="EIE143" s="4"/>
      <c r="EIF143" s="5"/>
      <c r="EIM143" s="3"/>
      <c r="EIO143" s="3"/>
      <c r="EIQ143" s="4"/>
      <c r="EIR143" s="5"/>
      <c r="EIY143" s="3"/>
      <c r="EJA143" s="3"/>
      <c r="EJC143" s="4"/>
      <c r="EJD143" s="5"/>
      <c r="EJK143" s="3"/>
      <c r="EJM143" s="3"/>
      <c r="EJO143" s="4"/>
      <c r="EJP143" s="5"/>
      <c r="EJW143" s="3"/>
      <c r="EJY143" s="3"/>
      <c r="EKA143" s="4"/>
      <c r="EKB143" s="5"/>
      <c r="EKI143" s="3"/>
      <c r="EKK143" s="3"/>
      <c r="EKM143" s="4"/>
      <c r="EKN143" s="5"/>
      <c r="EKU143" s="3"/>
      <c r="EKW143" s="3"/>
      <c r="EKY143" s="4"/>
      <c r="EKZ143" s="5"/>
      <c r="ELG143" s="3"/>
      <c r="ELI143" s="3"/>
      <c r="ELK143" s="4"/>
      <c r="ELL143" s="5"/>
      <c r="ELS143" s="3"/>
      <c r="ELU143" s="3"/>
      <c r="ELW143" s="4"/>
      <c r="ELX143" s="5"/>
      <c r="EME143" s="3"/>
      <c r="EMG143" s="3"/>
      <c r="EMI143" s="4"/>
      <c r="EMJ143" s="5"/>
      <c r="EMQ143" s="3"/>
      <c r="EMS143" s="3"/>
      <c r="EMU143" s="4"/>
      <c r="EMV143" s="5"/>
      <c r="ENC143" s="3"/>
      <c r="ENE143" s="3"/>
      <c r="ENG143" s="4"/>
      <c r="ENH143" s="5"/>
      <c r="ENO143" s="3"/>
      <c r="ENQ143" s="3"/>
      <c r="ENS143" s="4"/>
      <c r="ENT143" s="5"/>
      <c r="EOA143" s="3"/>
      <c r="EOC143" s="3"/>
      <c r="EOE143" s="4"/>
      <c r="EOF143" s="5"/>
      <c r="EOM143" s="3"/>
      <c r="EOO143" s="3"/>
      <c r="EOQ143" s="4"/>
      <c r="EOR143" s="5"/>
      <c r="EOY143" s="3"/>
      <c r="EPA143" s="3"/>
      <c r="EPC143" s="4"/>
      <c r="EPD143" s="5"/>
      <c r="EPK143" s="3"/>
      <c r="EPM143" s="3"/>
      <c r="EPO143" s="4"/>
      <c r="EPP143" s="5"/>
      <c r="EPW143" s="3"/>
      <c r="EPY143" s="3"/>
      <c r="EQA143" s="4"/>
      <c r="EQB143" s="5"/>
      <c r="EQI143" s="3"/>
      <c r="EQK143" s="3"/>
      <c r="EQM143" s="4"/>
      <c r="EQN143" s="5"/>
      <c r="EQU143" s="3"/>
      <c r="EQW143" s="3"/>
      <c r="EQY143" s="4"/>
      <c r="EQZ143" s="5"/>
      <c r="ERG143" s="3"/>
      <c r="ERI143" s="3"/>
      <c r="ERK143" s="4"/>
      <c r="ERL143" s="5"/>
      <c r="ERS143" s="3"/>
      <c r="ERU143" s="3"/>
      <c r="ERW143" s="4"/>
      <c r="ERX143" s="5"/>
      <c r="ESE143" s="3"/>
      <c r="ESG143" s="3"/>
      <c r="ESI143" s="4"/>
      <c r="ESJ143" s="5"/>
      <c r="ESQ143" s="3"/>
      <c r="ESS143" s="3"/>
      <c r="ESU143" s="4"/>
      <c r="ESV143" s="5"/>
      <c r="ETC143" s="3"/>
      <c r="ETE143" s="3"/>
      <c r="ETG143" s="4"/>
      <c r="ETH143" s="5"/>
      <c r="ETO143" s="3"/>
      <c r="ETQ143" s="3"/>
      <c r="ETS143" s="4"/>
      <c r="ETT143" s="5"/>
      <c r="EUA143" s="3"/>
      <c r="EUC143" s="3"/>
      <c r="EUE143" s="4"/>
      <c r="EUF143" s="5"/>
      <c r="EUM143" s="3"/>
      <c r="EUO143" s="3"/>
      <c r="EUQ143" s="4"/>
      <c r="EUR143" s="5"/>
      <c r="EUY143" s="3"/>
      <c r="EVA143" s="3"/>
      <c r="EVC143" s="4"/>
      <c r="EVD143" s="5"/>
      <c r="EVK143" s="3"/>
      <c r="EVM143" s="3"/>
      <c r="EVO143" s="4"/>
      <c r="EVP143" s="5"/>
      <c r="EVW143" s="3"/>
      <c r="EVY143" s="3"/>
      <c r="EWA143" s="4"/>
      <c r="EWB143" s="5"/>
      <c r="EWI143" s="3"/>
      <c r="EWK143" s="3"/>
      <c r="EWM143" s="4"/>
      <c r="EWN143" s="5"/>
      <c r="EWU143" s="3"/>
      <c r="EWW143" s="3"/>
      <c r="EWY143" s="4"/>
      <c r="EWZ143" s="5"/>
      <c r="EXG143" s="3"/>
      <c r="EXI143" s="3"/>
      <c r="EXK143" s="4"/>
      <c r="EXL143" s="5"/>
      <c r="EXS143" s="3"/>
      <c r="EXU143" s="3"/>
      <c r="EXW143" s="4"/>
      <c r="EXX143" s="5"/>
      <c r="EYE143" s="3"/>
      <c r="EYG143" s="3"/>
      <c r="EYI143" s="4"/>
      <c r="EYJ143" s="5"/>
      <c r="EYQ143" s="3"/>
      <c r="EYS143" s="3"/>
      <c r="EYU143" s="4"/>
      <c r="EYV143" s="5"/>
      <c r="EZC143" s="3"/>
      <c r="EZE143" s="3"/>
      <c r="EZG143" s="4"/>
      <c r="EZH143" s="5"/>
      <c r="EZO143" s="3"/>
      <c r="EZQ143" s="3"/>
      <c r="EZS143" s="4"/>
      <c r="EZT143" s="5"/>
      <c r="FAA143" s="3"/>
      <c r="FAC143" s="3"/>
      <c r="FAE143" s="4"/>
      <c r="FAF143" s="5"/>
      <c r="FAM143" s="3"/>
      <c r="FAO143" s="3"/>
      <c r="FAQ143" s="4"/>
      <c r="FAR143" s="5"/>
      <c r="FAY143" s="3"/>
      <c r="FBA143" s="3"/>
      <c r="FBC143" s="4"/>
      <c r="FBD143" s="5"/>
      <c r="FBK143" s="3"/>
      <c r="FBM143" s="3"/>
      <c r="FBO143" s="4"/>
      <c r="FBP143" s="5"/>
      <c r="FBW143" s="3"/>
      <c r="FBY143" s="3"/>
      <c r="FCA143" s="4"/>
      <c r="FCB143" s="5"/>
      <c r="FCI143" s="3"/>
      <c r="FCK143" s="3"/>
      <c r="FCM143" s="4"/>
      <c r="FCN143" s="5"/>
      <c r="FCU143" s="3"/>
      <c r="FCW143" s="3"/>
      <c r="FCY143" s="4"/>
      <c r="FCZ143" s="5"/>
      <c r="FDG143" s="3"/>
      <c r="FDI143" s="3"/>
      <c r="FDK143" s="4"/>
      <c r="FDL143" s="5"/>
      <c r="FDS143" s="3"/>
      <c r="FDU143" s="3"/>
      <c r="FDW143" s="4"/>
      <c r="FDX143" s="5"/>
      <c r="FEE143" s="3"/>
      <c r="FEG143" s="3"/>
      <c r="FEI143" s="4"/>
      <c r="FEJ143" s="5"/>
      <c r="FEQ143" s="3"/>
      <c r="FES143" s="3"/>
      <c r="FEU143" s="4"/>
      <c r="FEV143" s="5"/>
      <c r="FFC143" s="3"/>
      <c r="FFE143" s="3"/>
      <c r="FFG143" s="4"/>
      <c r="FFH143" s="5"/>
      <c r="FFO143" s="3"/>
      <c r="FFQ143" s="3"/>
      <c r="FFS143" s="4"/>
      <c r="FFT143" s="5"/>
      <c r="FGA143" s="3"/>
      <c r="FGC143" s="3"/>
      <c r="FGE143" s="4"/>
      <c r="FGF143" s="5"/>
      <c r="FGM143" s="3"/>
      <c r="FGO143" s="3"/>
      <c r="FGQ143" s="4"/>
      <c r="FGR143" s="5"/>
      <c r="FGY143" s="3"/>
      <c r="FHA143" s="3"/>
      <c r="FHC143" s="4"/>
      <c r="FHD143" s="5"/>
      <c r="FHK143" s="3"/>
      <c r="FHM143" s="3"/>
      <c r="FHO143" s="4"/>
      <c r="FHP143" s="5"/>
      <c r="FHW143" s="3"/>
      <c r="FHY143" s="3"/>
      <c r="FIA143" s="4"/>
      <c r="FIB143" s="5"/>
      <c r="FII143" s="3"/>
      <c r="FIK143" s="3"/>
      <c r="FIM143" s="4"/>
      <c r="FIN143" s="5"/>
      <c r="FIU143" s="3"/>
      <c r="FIW143" s="3"/>
      <c r="FIY143" s="4"/>
      <c r="FIZ143" s="5"/>
      <c r="FJG143" s="3"/>
      <c r="FJI143" s="3"/>
      <c r="FJK143" s="4"/>
      <c r="FJL143" s="5"/>
      <c r="FJS143" s="3"/>
      <c r="FJU143" s="3"/>
      <c r="FJW143" s="4"/>
      <c r="FJX143" s="5"/>
      <c r="FKE143" s="3"/>
      <c r="FKG143" s="3"/>
      <c r="FKI143" s="4"/>
      <c r="FKJ143" s="5"/>
      <c r="FKQ143" s="3"/>
      <c r="FKS143" s="3"/>
      <c r="FKU143" s="4"/>
      <c r="FKV143" s="5"/>
      <c r="FLC143" s="3"/>
      <c r="FLE143" s="3"/>
      <c r="FLG143" s="4"/>
      <c r="FLH143" s="5"/>
      <c r="FLO143" s="3"/>
      <c r="FLQ143" s="3"/>
      <c r="FLS143" s="4"/>
      <c r="FLT143" s="5"/>
      <c r="FMA143" s="3"/>
      <c r="FMC143" s="3"/>
      <c r="FME143" s="4"/>
      <c r="FMF143" s="5"/>
      <c r="FMM143" s="3"/>
      <c r="FMO143" s="3"/>
      <c r="FMQ143" s="4"/>
      <c r="FMR143" s="5"/>
      <c r="FMY143" s="3"/>
      <c r="FNA143" s="3"/>
      <c r="FNC143" s="4"/>
      <c r="FND143" s="5"/>
      <c r="FNK143" s="3"/>
      <c r="FNM143" s="3"/>
      <c r="FNO143" s="4"/>
      <c r="FNP143" s="5"/>
      <c r="FNW143" s="3"/>
      <c r="FNY143" s="3"/>
      <c r="FOA143" s="4"/>
      <c r="FOB143" s="5"/>
      <c r="FOI143" s="3"/>
      <c r="FOK143" s="3"/>
      <c r="FOM143" s="4"/>
      <c r="FON143" s="5"/>
      <c r="FOU143" s="3"/>
      <c r="FOW143" s="3"/>
      <c r="FOY143" s="4"/>
      <c r="FOZ143" s="5"/>
      <c r="FPG143" s="3"/>
      <c r="FPI143" s="3"/>
      <c r="FPK143" s="4"/>
      <c r="FPL143" s="5"/>
      <c r="FPS143" s="3"/>
      <c r="FPU143" s="3"/>
      <c r="FPW143" s="4"/>
      <c r="FPX143" s="5"/>
      <c r="FQE143" s="3"/>
      <c r="FQG143" s="3"/>
      <c r="FQI143" s="4"/>
      <c r="FQJ143" s="5"/>
      <c r="FQQ143" s="3"/>
      <c r="FQS143" s="3"/>
      <c r="FQU143" s="4"/>
      <c r="FQV143" s="5"/>
      <c r="FRC143" s="3"/>
      <c r="FRE143" s="3"/>
      <c r="FRG143" s="4"/>
      <c r="FRH143" s="5"/>
      <c r="FRO143" s="3"/>
      <c r="FRQ143" s="3"/>
      <c r="FRS143" s="4"/>
      <c r="FRT143" s="5"/>
      <c r="FSA143" s="3"/>
      <c r="FSC143" s="3"/>
      <c r="FSE143" s="4"/>
      <c r="FSF143" s="5"/>
      <c r="FSM143" s="3"/>
      <c r="FSO143" s="3"/>
      <c r="FSQ143" s="4"/>
      <c r="FSR143" s="5"/>
      <c r="FSY143" s="3"/>
      <c r="FTA143" s="3"/>
      <c r="FTC143" s="4"/>
      <c r="FTD143" s="5"/>
      <c r="FTK143" s="3"/>
      <c r="FTM143" s="3"/>
      <c r="FTO143" s="4"/>
      <c r="FTP143" s="5"/>
      <c r="FTW143" s="3"/>
      <c r="FTY143" s="3"/>
      <c r="FUA143" s="4"/>
      <c r="FUB143" s="5"/>
      <c r="FUI143" s="3"/>
      <c r="FUK143" s="3"/>
      <c r="FUM143" s="4"/>
      <c r="FUN143" s="5"/>
      <c r="FUU143" s="3"/>
      <c r="FUW143" s="3"/>
      <c r="FUY143" s="4"/>
      <c r="FUZ143" s="5"/>
      <c r="FVG143" s="3"/>
      <c r="FVI143" s="3"/>
      <c r="FVK143" s="4"/>
      <c r="FVL143" s="5"/>
      <c r="FVS143" s="3"/>
      <c r="FVU143" s="3"/>
      <c r="FVW143" s="4"/>
      <c r="FVX143" s="5"/>
      <c r="FWE143" s="3"/>
      <c r="FWG143" s="3"/>
      <c r="FWI143" s="4"/>
      <c r="FWJ143" s="5"/>
      <c r="FWQ143" s="3"/>
      <c r="FWS143" s="3"/>
      <c r="FWU143" s="4"/>
      <c r="FWV143" s="5"/>
      <c r="FXC143" s="3"/>
      <c r="FXE143" s="3"/>
      <c r="FXG143" s="4"/>
      <c r="FXH143" s="5"/>
      <c r="FXO143" s="3"/>
      <c r="FXQ143" s="3"/>
      <c r="FXS143" s="4"/>
      <c r="FXT143" s="5"/>
      <c r="FYA143" s="3"/>
      <c r="FYC143" s="3"/>
      <c r="FYE143" s="4"/>
      <c r="FYF143" s="5"/>
      <c r="FYM143" s="3"/>
      <c r="FYO143" s="3"/>
      <c r="FYQ143" s="4"/>
      <c r="FYR143" s="5"/>
      <c r="FYY143" s="3"/>
      <c r="FZA143" s="3"/>
      <c r="FZC143" s="4"/>
      <c r="FZD143" s="5"/>
      <c r="FZK143" s="3"/>
      <c r="FZM143" s="3"/>
      <c r="FZO143" s="4"/>
      <c r="FZP143" s="5"/>
      <c r="FZW143" s="3"/>
      <c r="FZY143" s="3"/>
      <c r="GAA143" s="4"/>
      <c r="GAB143" s="5"/>
      <c r="GAI143" s="3"/>
      <c r="GAK143" s="3"/>
      <c r="GAM143" s="4"/>
      <c r="GAN143" s="5"/>
      <c r="GAU143" s="3"/>
      <c r="GAW143" s="3"/>
      <c r="GAY143" s="4"/>
      <c r="GAZ143" s="5"/>
      <c r="GBG143" s="3"/>
      <c r="GBI143" s="3"/>
      <c r="GBK143" s="4"/>
      <c r="GBL143" s="5"/>
      <c r="GBS143" s="3"/>
      <c r="GBU143" s="3"/>
      <c r="GBW143" s="4"/>
      <c r="GBX143" s="5"/>
      <c r="GCE143" s="3"/>
      <c r="GCG143" s="3"/>
      <c r="GCI143" s="4"/>
      <c r="GCJ143" s="5"/>
      <c r="GCQ143" s="3"/>
      <c r="GCS143" s="3"/>
      <c r="GCU143" s="4"/>
      <c r="GCV143" s="5"/>
      <c r="GDC143" s="3"/>
      <c r="GDE143" s="3"/>
      <c r="GDG143" s="4"/>
      <c r="GDH143" s="5"/>
      <c r="GDO143" s="3"/>
      <c r="GDQ143" s="3"/>
      <c r="GDS143" s="4"/>
      <c r="GDT143" s="5"/>
      <c r="GEA143" s="3"/>
      <c r="GEC143" s="3"/>
      <c r="GEE143" s="4"/>
      <c r="GEF143" s="5"/>
      <c r="GEM143" s="3"/>
      <c r="GEO143" s="3"/>
      <c r="GEQ143" s="4"/>
      <c r="GER143" s="5"/>
      <c r="GEY143" s="3"/>
      <c r="GFA143" s="3"/>
      <c r="GFC143" s="4"/>
      <c r="GFD143" s="5"/>
      <c r="GFK143" s="3"/>
      <c r="GFM143" s="3"/>
      <c r="GFO143" s="4"/>
      <c r="GFP143" s="5"/>
      <c r="GFW143" s="3"/>
      <c r="GFY143" s="3"/>
      <c r="GGA143" s="4"/>
      <c r="GGB143" s="5"/>
      <c r="GGI143" s="3"/>
      <c r="GGK143" s="3"/>
      <c r="GGM143" s="4"/>
      <c r="GGN143" s="5"/>
      <c r="GGU143" s="3"/>
      <c r="GGW143" s="3"/>
      <c r="GGY143" s="4"/>
      <c r="GGZ143" s="5"/>
      <c r="GHG143" s="3"/>
      <c r="GHI143" s="3"/>
      <c r="GHK143" s="4"/>
      <c r="GHL143" s="5"/>
      <c r="GHS143" s="3"/>
      <c r="GHU143" s="3"/>
      <c r="GHW143" s="4"/>
      <c r="GHX143" s="5"/>
      <c r="GIE143" s="3"/>
      <c r="GIG143" s="3"/>
      <c r="GII143" s="4"/>
      <c r="GIJ143" s="5"/>
      <c r="GIQ143" s="3"/>
      <c r="GIS143" s="3"/>
      <c r="GIU143" s="4"/>
      <c r="GIV143" s="5"/>
      <c r="GJC143" s="3"/>
      <c r="GJE143" s="3"/>
      <c r="GJG143" s="4"/>
      <c r="GJH143" s="5"/>
      <c r="GJO143" s="3"/>
      <c r="GJQ143" s="3"/>
      <c r="GJS143" s="4"/>
      <c r="GJT143" s="5"/>
      <c r="GKA143" s="3"/>
      <c r="GKC143" s="3"/>
      <c r="GKE143" s="4"/>
      <c r="GKF143" s="5"/>
      <c r="GKM143" s="3"/>
      <c r="GKO143" s="3"/>
      <c r="GKQ143" s="4"/>
      <c r="GKR143" s="5"/>
      <c r="GKY143" s="3"/>
      <c r="GLA143" s="3"/>
      <c r="GLC143" s="4"/>
      <c r="GLD143" s="5"/>
      <c r="GLK143" s="3"/>
      <c r="GLM143" s="3"/>
      <c r="GLO143" s="4"/>
      <c r="GLP143" s="5"/>
      <c r="GLW143" s="3"/>
      <c r="GLY143" s="3"/>
      <c r="GMA143" s="4"/>
      <c r="GMB143" s="5"/>
      <c r="GMI143" s="3"/>
      <c r="GMK143" s="3"/>
      <c r="GMM143" s="4"/>
      <c r="GMN143" s="5"/>
      <c r="GMU143" s="3"/>
      <c r="GMW143" s="3"/>
      <c r="GMY143" s="4"/>
      <c r="GMZ143" s="5"/>
      <c r="GNG143" s="3"/>
      <c r="GNI143" s="3"/>
      <c r="GNK143" s="4"/>
      <c r="GNL143" s="5"/>
      <c r="GNS143" s="3"/>
      <c r="GNU143" s="3"/>
      <c r="GNW143" s="4"/>
      <c r="GNX143" s="5"/>
      <c r="GOE143" s="3"/>
      <c r="GOG143" s="3"/>
      <c r="GOI143" s="4"/>
      <c r="GOJ143" s="5"/>
      <c r="GOQ143" s="3"/>
      <c r="GOS143" s="3"/>
      <c r="GOU143" s="4"/>
      <c r="GOV143" s="5"/>
      <c r="GPC143" s="3"/>
      <c r="GPE143" s="3"/>
      <c r="GPG143" s="4"/>
      <c r="GPH143" s="5"/>
      <c r="GPO143" s="3"/>
      <c r="GPQ143" s="3"/>
      <c r="GPS143" s="4"/>
      <c r="GPT143" s="5"/>
      <c r="GQA143" s="3"/>
      <c r="GQC143" s="3"/>
      <c r="GQE143" s="4"/>
      <c r="GQF143" s="5"/>
      <c r="GQM143" s="3"/>
      <c r="GQO143" s="3"/>
      <c r="GQQ143" s="4"/>
      <c r="GQR143" s="5"/>
      <c r="GQY143" s="3"/>
      <c r="GRA143" s="3"/>
      <c r="GRC143" s="4"/>
      <c r="GRD143" s="5"/>
      <c r="GRK143" s="3"/>
      <c r="GRM143" s="3"/>
      <c r="GRO143" s="4"/>
      <c r="GRP143" s="5"/>
      <c r="GRW143" s="3"/>
      <c r="GRY143" s="3"/>
      <c r="GSA143" s="4"/>
      <c r="GSB143" s="5"/>
      <c r="GSI143" s="3"/>
      <c r="GSK143" s="3"/>
      <c r="GSM143" s="4"/>
      <c r="GSN143" s="5"/>
      <c r="GSU143" s="3"/>
      <c r="GSW143" s="3"/>
      <c r="GSY143" s="4"/>
      <c r="GSZ143" s="5"/>
      <c r="GTG143" s="3"/>
      <c r="GTI143" s="3"/>
      <c r="GTK143" s="4"/>
      <c r="GTL143" s="5"/>
      <c r="GTS143" s="3"/>
      <c r="GTU143" s="3"/>
      <c r="GTW143" s="4"/>
      <c r="GTX143" s="5"/>
      <c r="GUE143" s="3"/>
      <c r="GUG143" s="3"/>
      <c r="GUI143" s="4"/>
      <c r="GUJ143" s="5"/>
      <c r="GUQ143" s="3"/>
      <c r="GUS143" s="3"/>
      <c r="GUU143" s="4"/>
      <c r="GUV143" s="5"/>
      <c r="GVC143" s="3"/>
      <c r="GVE143" s="3"/>
      <c r="GVG143" s="4"/>
      <c r="GVH143" s="5"/>
      <c r="GVO143" s="3"/>
      <c r="GVQ143" s="3"/>
      <c r="GVS143" s="4"/>
      <c r="GVT143" s="5"/>
      <c r="GWA143" s="3"/>
      <c r="GWC143" s="3"/>
      <c r="GWE143" s="4"/>
      <c r="GWF143" s="5"/>
      <c r="GWM143" s="3"/>
      <c r="GWO143" s="3"/>
      <c r="GWQ143" s="4"/>
      <c r="GWR143" s="5"/>
      <c r="GWY143" s="3"/>
      <c r="GXA143" s="3"/>
      <c r="GXC143" s="4"/>
      <c r="GXD143" s="5"/>
      <c r="GXK143" s="3"/>
      <c r="GXM143" s="3"/>
      <c r="GXO143" s="4"/>
      <c r="GXP143" s="5"/>
      <c r="GXW143" s="3"/>
      <c r="GXY143" s="3"/>
      <c r="GYA143" s="4"/>
      <c r="GYB143" s="5"/>
      <c r="GYI143" s="3"/>
      <c r="GYK143" s="3"/>
      <c r="GYM143" s="4"/>
      <c r="GYN143" s="5"/>
      <c r="GYU143" s="3"/>
      <c r="GYW143" s="3"/>
      <c r="GYY143" s="4"/>
      <c r="GYZ143" s="5"/>
      <c r="GZG143" s="3"/>
      <c r="GZI143" s="3"/>
      <c r="GZK143" s="4"/>
      <c r="GZL143" s="5"/>
      <c r="GZS143" s="3"/>
      <c r="GZU143" s="3"/>
      <c r="GZW143" s="4"/>
      <c r="GZX143" s="5"/>
      <c r="HAE143" s="3"/>
      <c r="HAG143" s="3"/>
      <c r="HAI143" s="4"/>
      <c r="HAJ143" s="5"/>
      <c r="HAQ143" s="3"/>
      <c r="HAS143" s="3"/>
      <c r="HAU143" s="4"/>
      <c r="HAV143" s="5"/>
      <c r="HBC143" s="3"/>
      <c r="HBE143" s="3"/>
      <c r="HBG143" s="4"/>
      <c r="HBH143" s="5"/>
      <c r="HBO143" s="3"/>
      <c r="HBQ143" s="3"/>
      <c r="HBS143" s="4"/>
      <c r="HBT143" s="5"/>
      <c r="HCA143" s="3"/>
      <c r="HCC143" s="3"/>
      <c r="HCE143" s="4"/>
      <c r="HCF143" s="5"/>
      <c r="HCM143" s="3"/>
      <c r="HCO143" s="3"/>
      <c r="HCQ143" s="4"/>
      <c r="HCR143" s="5"/>
      <c r="HCY143" s="3"/>
      <c r="HDA143" s="3"/>
      <c r="HDC143" s="4"/>
      <c r="HDD143" s="5"/>
      <c r="HDK143" s="3"/>
      <c r="HDM143" s="3"/>
      <c r="HDO143" s="4"/>
      <c r="HDP143" s="5"/>
      <c r="HDW143" s="3"/>
      <c r="HDY143" s="3"/>
      <c r="HEA143" s="4"/>
      <c r="HEB143" s="5"/>
      <c r="HEI143" s="3"/>
      <c r="HEK143" s="3"/>
      <c r="HEM143" s="4"/>
      <c r="HEN143" s="5"/>
      <c r="HEU143" s="3"/>
      <c r="HEW143" s="3"/>
      <c r="HEY143" s="4"/>
      <c r="HEZ143" s="5"/>
      <c r="HFG143" s="3"/>
      <c r="HFI143" s="3"/>
      <c r="HFK143" s="4"/>
      <c r="HFL143" s="5"/>
      <c r="HFS143" s="3"/>
      <c r="HFU143" s="3"/>
      <c r="HFW143" s="4"/>
      <c r="HFX143" s="5"/>
      <c r="HGE143" s="3"/>
      <c r="HGG143" s="3"/>
      <c r="HGI143" s="4"/>
      <c r="HGJ143" s="5"/>
      <c r="HGQ143" s="3"/>
      <c r="HGS143" s="3"/>
      <c r="HGU143" s="4"/>
      <c r="HGV143" s="5"/>
      <c r="HHC143" s="3"/>
      <c r="HHE143" s="3"/>
      <c r="HHG143" s="4"/>
      <c r="HHH143" s="5"/>
      <c r="HHO143" s="3"/>
      <c r="HHQ143" s="3"/>
      <c r="HHS143" s="4"/>
      <c r="HHT143" s="5"/>
      <c r="HIA143" s="3"/>
      <c r="HIC143" s="3"/>
      <c r="HIE143" s="4"/>
      <c r="HIF143" s="5"/>
      <c r="HIM143" s="3"/>
      <c r="HIO143" s="3"/>
      <c r="HIQ143" s="4"/>
      <c r="HIR143" s="5"/>
      <c r="HIY143" s="3"/>
      <c r="HJA143" s="3"/>
      <c r="HJC143" s="4"/>
      <c r="HJD143" s="5"/>
      <c r="HJK143" s="3"/>
      <c r="HJM143" s="3"/>
      <c r="HJO143" s="4"/>
      <c r="HJP143" s="5"/>
      <c r="HJW143" s="3"/>
      <c r="HJY143" s="3"/>
      <c r="HKA143" s="4"/>
      <c r="HKB143" s="5"/>
      <c r="HKI143" s="3"/>
      <c r="HKK143" s="3"/>
      <c r="HKM143" s="4"/>
      <c r="HKN143" s="5"/>
      <c r="HKU143" s="3"/>
      <c r="HKW143" s="3"/>
      <c r="HKY143" s="4"/>
      <c r="HKZ143" s="5"/>
      <c r="HLG143" s="3"/>
      <c r="HLI143" s="3"/>
      <c r="HLK143" s="4"/>
      <c r="HLL143" s="5"/>
      <c r="HLS143" s="3"/>
      <c r="HLU143" s="3"/>
      <c r="HLW143" s="4"/>
      <c r="HLX143" s="5"/>
      <c r="HME143" s="3"/>
      <c r="HMG143" s="3"/>
      <c r="HMI143" s="4"/>
      <c r="HMJ143" s="5"/>
      <c r="HMQ143" s="3"/>
      <c r="HMS143" s="3"/>
      <c r="HMU143" s="4"/>
      <c r="HMV143" s="5"/>
      <c r="HNC143" s="3"/>
      <c r="HNE143" s="3"/>
      <c r="HNG143" s="4"/>
      <c r="HNH143" s="5"/>
      <c r="HNO143" s="3"/>
      <c r="HNQ143" s="3"/>
      <c r="HNS143" s="4"/>
      <c r="HNT143" s="5"/>
      <c r="HOA143" s="3"/>
      <c r="HOC143" s="3"/>
      <c r="HOE143" s="4"/>
      <c r="HOF143" s="5"/>
      <c r="HOM143" s="3"/>
      <c r="HOO143" s="3"/>
      <c r="HOQ143" s="4"/>
      <c r="HOR143" s="5"/>
      <c r="HOY143" s="3"/>
      <c r="HPA143" s="3"/>
      <c r="HPC143" s="4"/>
      <c r="HPD143" s="5"/>
      <c r="HPK143" s="3"/>
      <c r="HPM143" s="3"/>
      <c r="HPO143" s="4"/>
      <c r="HPP143" s="5"/>
      <c r="HPW143" s="3"/>
      <c r="HPY143" s="3"/>
      <c r="HQA143" s="4"/>
      <c r="HQB143" s="5"/>
      <c r="HQI143" s="3"/>
      <c r="HQK143" s="3"/>
      <c r="HQM143" s="4"/>
      <c r="HQN143" s="5"/>
      <c r="HQU143" s="3"/>
      <c r="HQW143" s="3"/>
      <c r="HQY143" s="4"/>
      <c r="HQZ143" s="5"/>
      <c r="HRG143" s="3"/>
      <c r="HRI143" s="3"/>
      <c r="HRK143" s="4"/>
      <c r="HRL143" s="5"/>
      <c r="HRS143" s="3"/>
      <c r="HRU143" s="3"/>
      <c r="HRW143" s="4"/>
      <c r="HRX143" s="5"/>
      <c r="HSE143" s="3"/>
      <c r="HSG143" s="3"/>
      <c r="HSI143" s="4"/>
      <c r="HSJ143" s="5"/>
      <c r="HSQ143" s="3"/>
      <c r="HSS143" s="3"/>
      <c r="HSU143" s="4"/>
      <c r="HSV143" s="5"/>
      <c r="HTC143" s="3"/>
      <c r="HTE143" s="3"/>
      <c r="HTG143" s="4"/>
      <c r="HTH143" s="5"/>
      <c r="HTO143" s="3"/>
      <c r="HTQ143" s="3"/>
      <c r="HTS143" s="4"/>
      <c r="HTT143" s="5"/>
      <c r="HUA143" s="3"/>
      <c r="HUC143" s="3"/>
      <c r="HUE143" s="4"/>
      <c r="HUF143" s="5"/>
      <c r="HUM143" s="3"/>
      <c r="HUO143" s="3"/>
      <c r="HUQ143" s="4"/>
      <c r="HUR143" s="5"/>
      <c r="HUY143" s="3"/>
      <c r="HVA143" s="3"/>
      <c r="HVC143" s="4"/>
      <c r="HVD143" s="5"/>
      <c r="HVK143" s="3"/>
      <c r="HVM143" s="3"/>
      <c r="HVO143" s="4"/>
      <c r="HVP143" s="5"/>
      <c r="HVW143" s="3"/>
      <c r="HVY143" s="3"/>
      <c r="HWA143" s="4"/>
      <c r="HWB143" s="5"/>
      <c r="HWI143" s="3"/>
      <c r="HWK143" s="3"/>
      <c r="HWM143" s="4"/>
      <c r="HWN143" s="5"/>
      <c r="HWU143" s="3"/>
      <c r="HWW143" s="3"/>
      <c r="HWY143" s="4"/>
      <c r="HWZ143" s="5"/>
      <c r="HXG143" s="3"/>
      <c r="HXI143" s="3"/>
      <c r="HXK143" s="4"/>
      <c r="HXL143" s="5"/>
      <c r="HXS143" s="3"/>
      <c r="HXU143" s="3"/>
      <c r="HXW143" s="4"/>
      <c r="HXX143" s="5"/>
      <c r="HYE143" s="3"/>
      <c r="HYG143" s="3"/>
      <c r="HYI143" s="4"/>
      <c r="HYJ143" s="5"/>
      <c r="HYQ143" s="3"/>
      <c r="HYS143" s="3"/>
      <c r="HYU143" s="4"/>
      <c r="HYV143" s="5"/>
      <c r="HZC143" s="3"/>
      <c r="HZE143" s="3"/>
      <c r="HZG143" s="4"/>
      <c r="HZH143" s="5"/>
      <c r="HZO143" s="3"/>
      <c r="HZQ143" s="3"/>
      <c r="HZS143" s="4"/>
      <c r="HZT143" s="5"/>
      <c r="IAA143" s="3"/>
      <c r="IAC143" s="3"/>
      <c r="IAE143" s="4"/>
      <c r="IAF143" s="5"/>
      <c r="IAM143" s="3"/>
      <c r="IAO143" s="3"/>
      <c r="IAQ143" s="4"/>
      <c r="IAR143" s="5"/>
      <c r="IAY143" s="3"/>
      <c r="IBA143" s="3"/>
      <c r="IBC143" s="4"/>
      <c r="IBD143" s="5"/>
      <c r="IBK143" s="3"/>
      <c r="IBM143" s="3"/>
      <c r="IBO143" s="4"/>
      <c r="IBP143" s="5"/>
      <c r="IBW143" s="3"/>
      <c r="IBY143" s="3"/>
      <c r="ICA143" s="4"/>
      <c r="ICB143" s="5"/>
      <c r="ICI143" s="3"/>
      <c r="ICK143" s="3"/>
      <c r="ICM143" s="4"/>
      <c r="ICN143" s="5"/>
      <c r="ICU143" s="3"/>
      <c r="ICW143" s="3"/>
      <c r="ICY143" s="4"/>
      <c r="ICZ143" s="5"/>
      <c r="IDG143" s="3"/>
      <c r="IDI143" s="3"/>
      <c r="IDK143" s="4"/>
      <c r="IDL143" s="5"/>
      <c r="IDS143" s="3"/>
      <c r="IDU143" s="3"/>
      <c r="IDW143" s="4"/>
      <c r="IDX143" s="5"/>
      <c r="IEE143" s="3"/>
      <c r="IEG143" s="3"/>
      <c r="IEI143" s="4"/>
      <c r="IEJ143" s="5"/>
      <c r="IEQ143" s="3"/>
      <c r="IES143" s="3"/>
      <c r="IEU143" s="4"/>
      <c r="IEV143" s="5"/>
      <c r="IFC143" s="3"/>
      <c r="IFE143" s="3"/>
      <c r="IFG143" s="4"/>
      <c r="IFH143" s="5"/>
      <c r="IFO143" s="3"/>
      <c r="IFQ143" s="3"/>
      <c r="IFS143" s="4"/>
      <c r="IFT143" s="5"/>
      <c r="IGA143" s="3"/>
      <c r="IGC143" s="3"/>
      <c r="IGE143" s="4"/>
      <c r="IGF143" s="5"/>
      <c r="IGM143" s="3"/>
      <c r="IGO143" s="3"/>
      <c r="IGQ143" s="4"/>
      <c r="IGR143" s="5"/>
      <c r="IGY143" s="3"/>
      <c r="IHA143" s="3"/>
      <c r="IHC143" s="4"/>
      <c r="IHD143" s="5"/>
      <c r="IHK143" s="3"/>
      <c r="IHM143" s="3"/>
      <c r="IHO143" s="4"/>
      <c r="IHP143" s="5"/>
      <c r="IHW143" s="3"/>
      <c r="IHY143" s="3"/>
      <c r="IIA143" s="4"/>
      <c r="IIB143" s="5"/>
      <c r="III143" s="3"/>
      <c r="IIK143" s="3"/>
      <c r="IIM143" s="4"/>
      <c r="IIN143" s="5"/>
      <c r="IIU143" s="3"/>
      <c r="IIW143" s="3"/>
      <c r="IIY143" s="4"/>
      <c r="IIZ143" s="5"/>
      <c r="IJG143" s="3"/>
      <c r="IJI143" s="3"/>
      <c r="IJK143" s="4"/>
      <c r="IJL143" s="5"/>
      <c r="IJS143" s="3"/>
      <c r="IJU143" s="3"/>
      <c r="IJW143" s="4"/>
      <c r="IJX143" s="5"/>
      <c r="IKE143" s="3"/>
      <c r="IKG143" s="3"/>
      <c r="IKI143" s="4"/>
      <c r="IKJ143" s="5"/>
      <c r="IKQ143" s="3"/>
      <c r="IKS143" s="3"/>
      <c r="IKU143" s="4"/>
      <c r="IKV143" s="5"/>
      <c r="ILC143" s="3"/>
      <c r="ILE143" s="3"/>
      <c r="ILG143" s="4"/>
      <c r="ILH143" s="5"/>
      <c r="ILO143" s="3"/>
      <c r="ILQ143" s="3"/>
      <c r="ILS143" s="4"/>
      <c r="ILT143" s="5"/>
      <c r="IMA143" s="3"/>
      <c r="IMC143" s="3"/>
      <c r="IME143" s="4"/>
      <c r="IMF143" s="5"/>
      <c r="IMM143" s="3"/>
      <c r="IMO143" s="3"/>
      <c r="IMQ143" s="4"/>
      <c r="IMR143" s="5"/>
      <c r="IMY143" s="3"/>
      <c r="INA143" s="3"/>
      <c r="INC143" s="4"/>
      <c r="IND143" s="5"/>
      <c r="INK143" s="3"/>
      <c r="INM143" s="3"/>
      <c r="INO143" s="4"/>
      <c r="INP143" s="5"/>
      <c r="INW143" s="3"/>
      <c r="INY143" s="3"/>
      <c r="IOA143" s="4"/>
      <c r="IOB143" s="5"/>
      <c r="IOI143" s="3"/>
      <c r="IOK143" s="3"/>
      <c r="IOM143" s="4"/>
      <c r="ION143" s="5"/>
      <c r="IOU143" s="3"/>
      <c r="IOW143" s="3"/>
      <c r="IOY143" s="4"/>
      <c r="IOZ143" s="5"/>
      <c r="IPG143" s="3"/>
      <c r="IPI143" s="3"/>
      <c r="IPK143" s="4"/>
      <c r="IPL143" s="5"/>
      <c r="IPS143" s="3"/>
      <c r="IPU143" s="3"/>
      <c r="IPW143" s="4"/>
      <c r="IPX143" s="5"/>
      <c r="IQE143" s="3"/>
      <c r="IQG143" s="3"/>
      <c r="IQI143" s="4"/>
      <c r="IQJ143" s="5"/>
      <c r="IQQ143" s="3"/>
      <c r="IQS143" s="3"/>
      <c r="IQU143" s="4"/>
      <c r="IQV143" s="5"/>
      <c r="IRC143" s="3"/>
      <c r="IRE143" s="3"/>
      <c r="IRG143" s="4"/>
      <c r="IRH143" s="5"/>
      <c r="IRO143" s="3"/>
      <c r="IRQ143" s="3"/>
      <c r="IRS143" s="4"/>
      <c r="IRT143" s="5"/>
      <c r="ISA143" s="3"/>
      <c r="ISC143" s="3"/>
      <c r="ISE143" s="4"/>
      <c r="ISF143" s="5"/>
      <c r="ISM143" s="3"/>
      <c r="ISO143" s="3"/>
      <c r="ISQ143" s="4"/>
      <c r="ISR143" s="5"/>
      <c r="ISY143" s="3"/>
      <c r="ITA143" s="3"/>
      <c r="ITC143" s="4"/>
      <c r="ITD143" s="5"/>
      <c r="ITK143" s="3"/>
      <c r="ITM143" s="3"/>
      <c r="ITO143" s="4"/>
      <c r="ITP143" s="5"/>
      <c r="ITW143" s="3"/>
      <c r="ITY143" s="3"/>
      <c r="IUA143" s="4"/>
      <c r="IUB143" s="5"/>
      <c r="IUI143" s="3"/>
      <c r="IUK143" s="3"/>
      <c r="IUM143" s="4"/>
      <c r="IUN143" s="5"/>
      <c r="IUU143" s="3"/>
      <c r="IUW143" s="3"/>
      <c r="IUY143" s="4"/>
      <c r="IUZ143" s="5"/>
      <c r="IVG143" s="3"/>
      <c r="IVI143" s="3"/>
      <c r="IVK143" s="4"/>
      <c r="IVL143" s="5"/>
      <c r="IVS143" s="3"/>
      <c r="IVU143" s="3"/>
      <c r="IVW143" s="4"/>
      <c r="IVX143" s="5"/>
      <c r="IWE143" s="3"/>
      <c r="IWG143" s="3"/>
      <c r="IWI143" s="4"/>
      <c r="IWJ143" s="5"/>
      <c r="IWQ143" s="3"/>
      <c r="IWS143" s="3"/>
      <c r="IWU143" s="4"/>
      <c r="IWV143" s="5"/>
      <c r="IXC143" s="3"/>
      <c r="IXE143" s="3"/>
      <c r="IXG143" s="4"/>
      <c r="IXH143" s="5"/>
      <c r="IXO143" s="3"/>
      <c r="IXQ143" s="3"/>
      <c r="IXS143" s="4"/>
      <c r="IXT143" s="5"/>
      <c r="IYA143" s="3"/>
      <c r="IYC143" s="3"/>
      <c r="IYE143" s="4"/>
      <c r="IYF143" s="5"/>
      <c r="IYM143" s="3"/>
      <c r="IYO143" s="3"/>
      <c r="IYQ143" s="4"/>
      <c r="IYR143" s="5"/>
      <c r="IYY143" s="3"/>
      <c r="IZA143" s="3"/>
      <c r="IZC143" s="4"/>
      <c r="IZD143" s="5"/>
      <c r="IZK143" s="3"/>
      <c r="IZM143" s="3"/>
      <c r="IZO143" s="4"/>
      <c r="IZP143" s="5"/>
      <c r="IZW143" s="3"/>
      <c r="IZY143" s="3"/>
      <c r="JAA143" s="4"/>
      <c r="JAB143" s="5"/>
      <c r="JAI143" s="3"/>
      <c r="JAK143" s="3"/>
      <c r="JAM143" s="4"/>
      <c r="JAN143" s="5"/>
      <c r="JAU143" s="3"/>
      <c r="JAW143" s="3"/>
      <c r="JAY143" s="4"/>
      <c r="JAZ143" s="5"/>
      <c r="JBG143" s="3"/>
      <c r="JBI143" s="3"/>
      <c r="JBK143" s="4"/>
      <c r="JBL143" s="5"/>
      <c r="JBS143" s="3"/>
      <c r="JBU143" s="3"/>
      <c r="JBW143" s="4"/>
      <c r="JBX143" s="5"/>
      <c r="JCE143" s="3"/>
      <c r="JCG143" s="3"/>
      <c r="JCI143" s="4"/>
      <c r="JCJ143" s="5"/>
      <c r="JCQ143" s="3"/>
      <c r="JCS143" s="3"/>
      <c r="JCU143" s="4"/>
      <c r="JCV143" s="5"/>
      <c r="JDC143" s="3"/>
      <c r="JDE143" s="3"/>
      <c r="JDG143" s="4"/>
      <c r="JDH143" s="5"/>
      <c r="JDO143" s="3"/>
      <c r="JDQ143" s="3"/>
      <c r="JDS143" s="4"/>
      <c r="JDT143" s="5"/>
      <c r="JEA143" s="3"/>
      <c r="JEC143" s="3"/>
      <c r="JEE143" s="4"/>
      <c r="JEF143" s="5"/>
      <c r="JEM143" s="3"/>
      <c r="JEO143" s="3"/>
      <c r="JEQ143" s="4"/>
      <c r="JER143" s="5"/>
      <c r="JEY143" s="3"/>
      <c r="JFA143" s="3"/>
      <c r="JFC143" s="4"/>
      <c r="JFD143" s="5"/>
      <c r="JFK143" s="3"/>
      <c r="JFM143" s="3"/>
      <c r="JFO143" s="4"/>
      <c r="JFP143" s="5"/>
      <c r="JFW143" s="3"/>
      <c r="JFY143" s="3"/>
      <c r="JGA143" s="4"/>
      <c r="JGB143" s="5"/>
      <c r="JGI143" s="3"/>
      <c r="JGK143" s="3"/>
      <c r="JGM143" s="4"/>
      <c r="JGN143" s="5"/>
      <c r="JGU143" s="3"/>
      <c r="JGW143" s="3"/>
      <c r="JGY143" s="4"/>
      <c r="JGZ143" s="5"/>
      <c r="JHG143" s="3"/>
      <c r="JHI143" s="3"/>
      <c r="JHK143" s="4"/>
      <c r="JHL143" s="5"/>
      <c r="JHS143" s="3"/>
      <c r="JHU143" s="3"/>
      <c r="JHW143" s="4"/>
      <c r="JHX143" s="5"/>
      <c r="JIE143" s="3"/>
      <c r="JIG143" s="3"/>
      <c r="JII143" s="4"/>
      <c r="JIJ143" s="5"/>
      <c r="JIQ143" s="3"/>
      <c r="JIS143" s="3"/>
      <c r="JIU143" s="4"/>
      <c r="JIV143" s="5"/>
      <c r="JJC143" s="3"/>
      <c r="JJE143" s="3"/>
      <c r="JJG143" s="4"/>
      <c r="JJH143" s="5"/>
      <c r="JJO143" s="3"/>
      <c r="JJQ143" s="3"/>
      <c r="JJS143" s="4"/>
      <c r="JJT143" s="5"/>
      <c r="JKA143" s="3"/>
      <c r="JKC143" s="3"/>
      <c r="JKE143" s="4"/>
      <c r="JKF143" s="5"/>
      <c r="JKM143" s="3"/>
      <c r="JKO143" s="3"/>
      <c r="JKQ143" s="4"/>
      <c r="JKR143" s="5"/>
      <c r="JKY143" s="3"/>
      <c r="JLA143" s="3"/>
      <c r="JLC143" s="4"/>
      <c r="JLD143" s="5"/>
      <c r="JLK143" s="3"/>
      <c r="JLM143" s="3"/>
      <c r="JLO143" s="4"/>
      <c r="JLP143" s="5"/>
      <c r="JLW143" s="3"/>
      <c r="JLY143" s="3"/>
      <c r="JMA143" s="4"/>
      <c r="JMB143" s="5"/>
      <c r="JMI143" s="3"/>
      <c r="JMK143" s="3"/>
      <c r="JMM143" s="4"/>
      <c r="JMN143" s="5"/>
      <c r="JMU143" s="3"/>
      <c r="JMW143" s="3"/>
      <c r="JMY143" s="4"/>
      <c r="JMZ143" s="5"/>
      <c r="JNG143" s="3"/>
      <c r="JNI143" s="3"/>
      <c r="JNK143" s="4"/>
      <c r="JNL143" s="5"/>
      <c r="JNS143" s="3"/>
      <c r="JNU143" s="3"/>
      <c r="JNW143" s="4"/>
      <c r="JNX143" s="5"/>
      <c r="JOE143" s="3"/>
      <c r="JOG143" s="3"/>
      <c r="JOI143" s="4"/>
      <c r="JOJ143" s="5"/>
      <c r="JOQ143" s="3"/>
      <c r="JOS143" s="3"/>
      <c r="JOU143" s="4"/>
      <c r="JOV143" s="5"/>
      <c r="JPC143" s="3"/>
      <c r="JPE143" s="3"/>
      <c r="JPG143" s="4"/>
      <c r="JPH143" s="5"/>
      <c r="JPO143" s="3"/>
      <c r="JPQ143" s="3"/>
      <c r="JPS143" s="4"/>
      <c r="JPT143" s="5"/>
      <c r="JQA143" s="3"/>
      <c r="JQC143" s="3"/>
      <c r="JQE143" s="4"/>
      <c r="JQF143" s="5"/>
      <c r="JQM143" s="3"/>
      <c r="JQO143" s="3"/>
      <c r="JQQ143" s="4"/>
      <c r="JQR143" s="5"/>
      <c r="JQY143" s="3"/>
      <c r="JRA143" s="3"/>
      <c r="JRC143" s="4"/>
      <c r="JRD143" s="5"/>
      <c r="JRK143" s="3"/>
      <c r="JRM143" s="3"/>
      <c r="JRO143" s="4"/>
      <c r="JRP143" s="5"/>
      <c r="JRW143" s="3"/>
      <c r="JRY143" s="3"/>
      <c r="JSA143" s="4"/>
      <c r="JSB143" s="5"/>
      <c r="JSI143" s="3"/>
      <c r="JSK143" s="3"/>
      <c r="JSM143" s="4"/>
      <c r="JSN143" s="5"/>
      <c r="JSU143" s="3"/>
      <c r="JSW143" s="3"/>
      <c r="JSY143" s="4"/>
      <c r="JSZ143" s="5"/>
      <c r="JTG143" s="3"/>
      <c r="JTI143" s="3"/>
      <c r="JTK143" s="4"/>
      <c r="JTL143" s="5"/>
      <c r="JTS143" s="3"/>
      <c r="JTU143" s="3"/>
      <c r="JTW143" s="4"/>
      <c r="JTX143" s="5"/>
      <c r="JUE143" s="3"/>
      <c r="JUG143" s="3"/>
      <c r="JUI143" s="4"/>
      <c r="JUJ143" s="5"/>
      <c r="JUQ143" s="3"/>
      <c r="JUS143" s="3"/>
      <c r="JUU143" s="4"/>
      <c r="JUV143" s="5"/>
      <c r="JVC143" s="3"/>
      <c r="JVE143" s="3"/>
      <c r="JVG143" s="4"/>
      <c r="JVH143" s="5"/>
      <c r="JVO143" s="3"/>
      <c r="JVQ143" s="3"/>
      <c r="JVS143" s="4"/>
      <c r="JVT143" s="5"/>
      <c r="JWA143" s="3"/>
      <c r="JWC143" s="3"/>
      <c r="JWE143" s="4"/>
      <c r="JWF143" s="5"/>
      <c r="JWM143" s="3"/>
      <c r="JWO143" s="3"/>
      <c r="JWQ143" s="4"/>
      <c r="JWR143" s="5"/>
      <c r="JWY143" s="3"/>
      <c r="JXA143" s="3"/>
      <c r="JXC143" s="4"/>
      <c r="JXD143" s="5"/>
      <c r="JXK143" s="3"/>
      <c r="JXM143" s="3"/>
      <c r="JXO143" s="4"/>
      <c r="JXP143" s="5"/>
      <c r="JXW143" s="3"/>
      <c r="JXY143" s="3"/>
      <c r="JYA143" s="4"/>
      <c r="JYB143" s="5"/>
      <c r="JYI143" s="3"/>
      <c r="JYK143" s="3"/>
      <c r="JYM143" s="4"/>
      <c r="JYN143" s="5"/>
      <c r="JYU143" s="3"/>
      <c r="JYW143" s="3"/>
      <c r="JYY143" s="4"/>
      <c r="JYZ143" s="5"/>
      <c r="JZG143" s="3"/>
      <c r="JZI143" s="3"/>
      <c r="JZK143" s="4"/>
      <c r="JZL143" s="5"/>
      <c r="JZS143" s="3"/>
      <c r="JZU143" s="3"/>
      <c r="JZW143" s="4"/>
      <c r="JZX143" s="5"/>
      <c r="KAE143" s="3"/>
      <c r="KAG143" s="3"/>
      <c r="KAI143" s="4"/>
      <c r="KAJ143" s="5"/>
      <c r="KAQ143" s="3"/>
      <c r="KAS143" s="3"/>
      <c r="KAU143" s="4"/>
      <c r="KAV143" s="5"/>
      <c r="KBC143" s="3"/>
      <c r="KBE143" s="3"/>
      <c r="KBG143" s="4"/>
      <c r="KBH143" s="5"/>
      <c r="KBO143" s="3"/>
      <c r="KBQ143" s="3"/>
      <c r="KBS143" s="4"/>
      <c r="KBT143" s="5"/>
      <c r="KCA143" s="3"/>
      <c r="KCC143" s="3"/>
      <c r="KCE143" s="4"/>
      <c r="KCF143" s="5"/>
      <c r="KCM143" s="3"/>
      <c r="KCO143" s="3"/>
      <c r="KCQ143" s="4"/>
      <c r="KCR143" s="5"/>
      <c r="KCY143" s="3"/>
      <c r="KDA143" s="3"/>
      <c r="KDC143" s="4"/>
      <c r="KDD143" s="5"/>
      <c r="KDK143" s="3"/>
      <c r="KDM143" s="3"/>
      <c r="KDO143" s="4"/>
      <c r="KDP143" s="5"/>
      <c r="KDW143" s="3"/>
      <c r="KDY143" s="3"/>
      <c r="KEA143" s="4"/>
      <c r="KEB143" s="5"/>
      <c r="KEI143" s="3"/>
      <c r="KEK143" s="3"/>
      <c r="KEM143" s="4"/>
      <c r="KEN143" s="5"/>
      <c r="KEU143" s="3"/>
      <c r="KEW143" s="3"/>
      <c r="KEY143" s="4"/>
      <c r="KEZ143" s="5"/>
      <c r="KFG143" s="3"/>
      <c r="KFI143" s="3"/>
      <c r="KFK143" s="4"/>
      <c r="KFL143" s="5"/>
      <c r="KFS143" s="3"/>
      <c r="KFU143" s="3"/>
      <c r="KFW143" s="4"/>
      <c r="KFX143" s="5"/>
      <c r="KGE143" s="3"/>
      <c r="KGG143" s="3"/>
      <c r="KGI143" s="4"/>
      <c r="KGJ143" s="5"/>
      <c r="KGQ143" s="3"/>
      <c r="KGS143" s="3"/>
      <c r="KGU143" s="4"/>
      <c r="KGV143" s="5"/>
      <c r="KHC143" s="3"/>
      <c r="KHE143" s="3"/>
      <c r="KHG143" s="4"/>
      <c r="KHH143" s="5"/>
      <c r="KHO143" s="3"/>
      <c r="KHQ143" s="3"/>
      <c r="KHS143" s="4"/>
      <c r="KHT143" s="5"/>
      <c r="KIA143" s="3"/>
      <c r="KIC143" s="3"/>
      <c r="KIE143" s="4"/>
      <c r="KIF143" s="5"/>
      <c r="KIM143" s="3"/>
      <c r="KIO143" s="3"/>
      <c r="KIQ143" s="4"/>
      <c r="KIR143" s="5"/>
      <c r="KIY143" s="3"/>
      <c r="KJA143" s="3"/>
      <c r="KJC143" s="4"/>
      <c r="KJD143" s="5"/>
      <c r="KJK143" s="3"/>
      <c r="KJM143" s="3"/>
      <c r="KJO143" s="4"/>
      <c r="KJP143" s="5"/>
      <c r="KJW143" s="3"/>
      <c r="KJY143" s="3"/>
      <c r="KKA143" s="4"/>
      <c r="KKB143" s="5"/>
      <c r="KKI143" s="3"/>
      <c r="KKK143" s="3"/>
      <c r="KKM143" s="4"/>
      <c r="KKN143" s="5"/>
      <c r="KKU143" s="3"/>
      <c r="KKW143" s="3"/>
      <c r="KKY143" s="4"/>
      <c r="KKZ143" s="5"/>
      <c r="KLG143" s="3"/>
      <c r="KLI143" s="3"/>
      <c r="KLK143" s="4"/>
      <c r="KLL143" s="5"/>
      <c r="KLS143" s="3"/>
      <c r="KLU143" s="3"/>
      <c r="KLW143" s="4"/>
      <c r="KLX143" s="5"/>
      <c r="KME143" s="3"/>
      <c r="KMG143" s="3"/>
      <c r="KMI143" s="4"/>
      <c r="KMJ143" s="5"/>
      <c r="KMQ143" s="3"/>
      <c r="KMS143" s="3"/>
      <c r="KMU143" s="4"/>
      <c r="KMV143" s="5"/>
      <c r="KNC143" s="3"/>
      <c r="KNE143" s="3"/>
      <c r="KNG143" s="4"/>
      <c r="KNH143" s="5"/>
      <c r="KNO143" s="3"/>
      <c r="KNQ143" s="3"/>
      <c r="KNS143" s="4"/>
      <c r="KNT143" s="5"/>
      <c r="KOA143" s="3"/>
      <c r="KOC143" s="3"/>
      <c r="KOE143" s="4"/>
      <c r="KOF143" s="5"/>
      <c r="KOM143" s="3"/>
      <c r="KOO143" s="3"/>
      <c r="KOQ143" s="4"/>
      <c r="KOR143" s="5"/>
      <c r="KOY143" s="3"/>
      <c r="KPA143" s="3"/>
      <c r="KPC143" s="4"/>
      <c r="KPD143" s="5"/>
      <c r="KPK143" s="3"/>
      <c r="KPM143" s="3"/>
      <c r="KPO143" s="4"/>
      <c r="KPP143" s="5"/>
      <c r="KPW143" s="3"/>
      <c r="KPY143" s="3"/>
      <c r="KQA143" s="4"/>
      <c r="KQB143" s="5"/>
      <c r="KQI143" s="3"/>
      <c r="KQK143" s="3"/>
      <c r="KQM143" s="4"/>
      <c r="KQN143" s="5"/>
      <c r="KQU143" s="3"/>
      <c r="KQW143" s="3"/>
      <c r="KQY143" s="4"/>
      <c r="KQZ143" s="5"/>
      <c r="KRG143" s="3"/>
      <c r="KRI143" s="3"/>
      <c r="KRK143" s="4"/>
      <c r="KRL143" s="5"/>
      <c r="KRS143" s="3"/>
      <c r="KRU143" s="3"/>
      <c r="KRW143" s="4"/>
      <c r="KRX143" s="5"/>
      <c r="KSE143" s="3"/>
      <c r="KSG143" s="3"/>
      <c r="KSI143" s="4"/>
      <c r="KSJ143" s="5"/>
      <c r="KSQ143" s="3"/>
      <c r="KSS143" s="3"/>
      <c r="KSU143" s="4"/>
      <c r="KSV143" s="5"/>
      <c r="KTC143" s="3"/>
      <c r="KTE143" s="3"/>
      <c r="KTG143" s="4"/>
      <c r="KTH143" s="5"/>
      <c r="KTO143" s="3"/>
      <c r="KTQ143" s="3"/>
      <c r="KTS143" s="4"/>
      <c r="KTT143" s="5"/>
      <c r="KUA143" s="3"/>
      <c r="KUC143" s="3"/>
      <c r="KUE143" s="4"/>
      <c r="KUF143" s="5"/>
      <c r="KUM143" s="3"/>
      <c r="KUO143" s="3"/>
      <c r="KUQ143" s="4"/>
      <c r="KUR143" s="5"/>
      <c r="KUY143" s="3"/>
      <c r="KVA143" s="3"/>
      <c r="KVC143" s="4"/>
      <c r="KVD143" s="5"/>
      <c r="KVK143" s="3"/>
      <c r="KVM143" s="3"/>
      <c r="KVO143" s="4"/>
      <c r="KVP143" s="5"/>
      <c r="KVW143" s="3"/>
      <c r="KVY143" s="3"/>
      <c r="KWA143" s="4"/>
      <c r="KWB143" s="5"/>
      <c r="KWI143" s="3"/>
      <c r="KWK143" s="3"/>
      <c r="KWM143" s="4"/>
      <c r="KWN143" s="5"/>
      <c r="KWU143" s="3"/>
      <c r="KWW143" s="3"/>
      <c r="KWY143" s="4"/>
      <c r="KWZ143" s="5"/>
      <c r="KXG143" s="3"/>
      <c r="KXI143" s="3"/>
      <c r="KXK143" s="4"/>
      <c r="KXL143" s="5"/>
      <c r="KXS143" s="3"/>
      <c r="KXU143" s="3"/>
      <c r="KXW143" s="4"/>
      <c r="KXX143" s="5"/>
      <c r="KYE143" s="3"/>
      <c r="KYG143" s="3"/>
      <c r="KYI143" s="4"/>
      <c r="KYJ143" s="5"/>
      <c r="KYQ143" s="3"/>
      <c r="KYS143" s="3"/>
      <c r="KYU143" s="4"/>
      <c r="KYV143" s="5"/>
      <c r="KZC143" s="3"/>
      <c r="KZE143" s="3"/>
      <c r="KZG143" s="4"/>
      <c r="KZH143" s="5"/>
      <c r="KZO143" s="3"/>
      <c r="KZQ143" s="3"/>
      <c r="KZS143" s="4"/>
      <c r="KZT143" s="5"/>
      <c r="LAA143" s="3"/>
      <c r="LAC143" s="3"/>
      <c r="LAE143" s="4"/>
      <c r="LAF143" s="5"/>
      <c r="LAM143" s="3"/>
      <c r="LAO143" s="3"/>
      <c r="LAQ143" s="4"/>
      <c r="LAR143" s="5"/>
      <c r="LAY143" s="3"/>
      <c r="LBA143" s="3"/>
      <c r="LBC143" s="4"/>
      <c r="LBD143" s="5"/>
      <c r="LBK143" s="3"/>
      <c r="LBM143" s="3"/>
      <c r="LBO143" s="4"/>
      <c r="LBP143" s="5"/>
      <c r="LBW143" s="3"/>
      <c r="LBY143" s="3"/>
      <c r="LCA143" s="4"/>
      <c r="LCB143" s="5"/>
      <c r="LCI143" s="3"/>
      <c r="LCK143" s="3"/>
      <c r="LCM143" s="4"/>
      <c r="LCN143" s="5"/>
      <c r="LCU143" s="3"/>
      <c r="LCW143" s="3"/>
      <c r="LCY143" s="4"/>
      <c r="LCZ143" s="5"/>
      <c r="LDG143" s="3"/>
      <c r="LDI143" s="3"/>
      <c r="LDK143" s="4"/>
      <c r="LDL143" s="5"/>
      <c r="LDS143" s="3"/>
      <c r="LDU143" s="3"/>
      <c r="LDW143" s="4"/>
      <c r="LDX143" s="5"/>
      <c r="LEE143" s="3"/>
      <c r="LEG143" s="3"/>
      <c r="LEI143" s="4"/>
      <c r="LEJ143" s="5"/>
      <c r="LEQ143" s="3"/>
      <c r="LES143" s="3"/>
      <c r="LEU143" s="4"/>
      <c r="LEV143" s="5"/>
      <c r="LFC143" s="3"/>
      <c r="LFE143" s="3"/>
      <c r="LFG143" s="4"/>
      <c r="LFH143" s="5"/>
      <c r="LFO143" s="3"/>
      <c r="LFQ143" s="3"/>
      <c r="LFS143" s="4"/>
      <c r="LFT143" s="5"/>
      <c r="LGA143" s="3"/>
      <c r="LGC143" s="3"/>
      <c r="LGE143" s="4"/>
      <c r="LGF143" s="5"/>
      <c r="LGM143" s="3"/>
      <c r="LGO143" s="3"/>
      <c r="LGQ143" s="4"/>
      <c r="LGR143" s="5"/>
      <c r="LGY143" s="3"/>
      <c r="LHA143" s="3"/>
      <c r="LHC143" s="4"/>
      <c r="LHD143" s="5"/>
      <c r="LHK143" s="3"/>
      <c r="LHM143" s="3"/>
      <c r="LHO143" s="4"/>
      <c r="LHP143" s="5"/>
      <c r="LHW143" s="3"/>
      <c r="LHY143" s="3"/>
      <c r="LIA143" s="4"/>
      <c r="LIB143" s="5"/>
      <c r="LII143" s="3"/>
      <c r="LIK143" s="3"/>
      <c r="LIM143" s="4"/>
      <c r="LIN143" s="5"/>
      <c r="LIU143" s="3"/>
      <c r="LIW143" s="3"/>
      <c r="LIY143" s="4"/>
      <c r="LIZ143" s="5"/>
      <c r="LJG143" s="3"/>
      <c r="LJI143" s="3"/>
      <c r="LJK143" s="4"/>
      <c r="LJL143" s="5"/>
      <c r="LJS143" s="3"/>
      <c r="LJU143" s="3"/>
      <c r="LJW143" s="4"/>
      <c r="LJX143" s="5"/>
      <c r="LKE143" s="3"/>
      <c r="LKG143" s="3"/>
      <c r="LKI143" s="4"/>
      <c r="LKJ143" s="5"/>
      <c r="LKQ143" s="3"/>
      <c r="LKS143" s="3"/>
      <c r="LKU143" s="4"/>
      <c r="LKV143" s="5"/>
      <c r="LLC143" s="3"/>
      <c r="LLE143" s="3"/>
      <c r="LLG143" s="4"/>
      <c r="LLH143" s="5"/>
      <c r="LLO143" s="3"/>
      <c r="LLQ143" s="3"/>
      <c r="LLS143" s="4"/>
      <c r="LLT143" s="5"/>
      <c r="LMA143" s="3"/>
      <c r="LMC143" s="3"/>
      <c r="LME143" s="4"/>
      <c r="LMF143" s="5"/>
      <c r="LMM143" s="3"/>
      <c r="LMO143" s="3"/>
      <c r="LMQ143" s="4"/>
      <c r="LMR143" s="5"/>
      <c r="LMY143" s="3"/>
      <c r="LNA143" s="3"/>
      <c r="LNC143" s="4"/>
      <c r="LND143" s="5"/>
      <c r="LNK143" s="3"/>
      <c r="LNM143" s="3"/>
      <c r="LNO143" s="4"/>
      <c r="LNP143" s="5"/>
      <c r="LNW143" s="3"/>
      <c r="LNY143" s="3"/>
      <c r="LOA143" s="4"/>
      <c r="LOB143" s="5"/>
      <c r="LOI143" s="3"/>
      <c r="LOK143" s="3"/>
      <c r="LOM143" s="4"/>
      <c r="LON143" s="5"/>
      <c r="LOU143" s="3"/>
      <c r="LOW143" s="3"/>
      <c r="LOY143" s="4"/>
      <c r="LOZ143" s="5"/>
      <c r="LPG143" s="3"/>
      <c r="LPI143" s="3"/>
      <c r="LPK143" s="4"/>
      <c r="LPL143" s="5"/>
      <c r="LPS143" s="3"/>
      <c r="LPU143" s="3"/>
      <c r="LPW143" s="4"/>
      <c r="LPX143" s="5"/>
      <c r="LQE143" s="3"/>
      <c r="LQG143" s="3"/>
      <c r="LQI143" s="4"/>
      <c r="LQJ143" s="5"/>
      <c r="LQQ143" s="3"/>
      <c r="LQS143" s="3"/>
      <c r="LQU143" s="4"/>
      <c r="LQV143" s="5"/>
      <c r="LRC143" s="3"/>
      <c r="LRE143" s="3"/>
      <c r="LRG143" s="4"/>
      <c r="LRH143" s="5"/>
      <c r="LRO143" s="3"/>
      <c r="LRQ143" s="3"/>
      <c r="LRS143" s="4"/>
      <c r="LRT143" s="5"/>
      <c r="LSA143" s="3"/>
      <c r="LSC143" s="3"/>
      <c r="LSE143" s="4"/>
      <c r="LSF143" s="5"/>
      <c r="LSM143" s="3"/>
      <c r="LSO143" s="3"/>
      <c r="LSQ143" s="4"/>
      <c r="LSR143" s="5"/>
      <c r="LSY143" s="3"/>
      <c r="LTA143" s="3"/>
      <c r="LTC143" s="4"/>
      <c r="LTD143" s="5"/>
      <c r="LTK143" s="3"/>
      <c r="LTM143" s="3"/>
      <c r="LTO143" s="4"/>
      <c r="LTP143" s="5"/>
      <c r="LTW143" s="3"/>
      <c r="LTY143" s="3"/>
      <c r="LUA143" s="4"/>
      <c r="LUB143" s="5"/>
      <c r="LUI143" s="3"/>
      <c r="LUK143" s="3"/>
      <c r="LUM143" s="4"/>
      <c r="LUN143" s="5"/>
      <c r="LUU143" s="3"/>
      <c r="LUW143" s="3"/>
      <c r="LUY143" s="4"/>
      <c r="LUZ143" s="5"/>
      <c r="LVG143" s="3"/>
      <c r="LVI143" s="3"/>
      <c r="LVK143" s="4"/>
      <c r="LVL143" s="5"/>
      <c r="LVS143" s="3"/>
      <c r="LVU143" s="3"/>
      <c r="LVW143" s="4"/>
      <c r="LVX143" s="5"/>
      <c r="LWE143" s="3"/>
      <c r="LWG143" s="3"/>
      <c r="LWI143" s="4"/>
      <c r="LWJ143" s="5"/>
      <c r="LWQ143" s="3"/>
      <c r="LWS143" s="3"/>
      <c r="LWU143" s="4"/>
      <c r="LWV143" s="5"/>
      <c r="LXC143" s="3"/>
      <c r="LXE143" s="3"/>
      <c r="LXG143" s="4"/>
      <c r="LXH143" s="5"/>
      <c r="LXO143" s="3"/>
      <c r="LXQ143" s="3"/>
      <c r="LXS143" s="4"/>
      <c r="LXT143" s="5"/>
      <c r="LYA143" s="3"/>
      <c r="LYC143" s="3"/>
      <c r="LYE143" s="4"/>
      <c r="LYF143" s="5"/>
      <c r="LYM143" s="3"/>
      <c r="LYO143" s="3"/>
      <c r="LYQ143" s="4"/>
      <c r="LYR143" s="5"/>
      <c r="LYY143" s="3"/>
      <c r="LZA143" s="3"/>
      <c r="LZC143" s="4"/>
      <c r="LZD143" s="5"/>
      <c r="LZK143" s="3"/>
      <c r="LZM143" s="3"/>
      <c r="LZO143" s="4"/>
      <c r="LZP143" s="5"/>
      <c r="LZW143" s="3"/>
      <c r="LZY143" s="3"/>
      <c r="MAA143" s="4"/>
      <c r="MAB143" s="5"/>
      <c r="MAI143" s="3"/>
      <c r="MAK143" s="3"/>
      <c r="MAM143" s="4"/>
      <c r="MAN143" s="5"/>
      <c r="MAU143" s="3"/>
      <c r="MAW143" s="3"/>
      <c r="MAY143" s="4"/>
      <c r="MAZ143" s="5"/>
      <c r="MBG143" s="3"/>
      <c r="MBI143" s="3"/>
      <c r="MBK143" s="4"/>
      <c r="MBL143" s="5"/>
      <c r="MBS143" s="3"/>
      <c r="MBU143" s="3"/>
      <c r="MBW143" s="4"/>
      <c r="MBX143" s="5"/>
      <c r="MCE143" s="3"/>
      <c r="MCG143" s="3"/>
      <c r="MCI143" s="4"/>
      <c r="MCJ143" s="5"/>
      <c r="MCQ143" s="3"/>
      <c r="MCS143" s="3"/>
      <c r="MCU143" s="4"/>
      <c r="MCV143" s="5"/>
      <c r="MDC143" s="3"/>
      <c r="MDE143" s="3"/>
      <c r="MDG143" s="4"/>
      <c r="MDH143" s="5"/>
      <c r="MDO143" s="3"/>
      <c r="MDQ143" s="3"/>
      <c r="MDS143" s="4"/>
      <c r="MDT143" s="5"/>
      <c r="MEA143" s="3"/>
      <c r="MEC143" s="3"/>
      <c r="MEE143" s="4"/>
      <c r="MEF143" s="5"/>
      <c r="MEM143" s="3"/>
      <c r="MEO143" s="3"/>
      <c r="MEQ143" s="4"/>
      <c r="MER143" s="5"/>
      <c r="MEY143" s="3"/>
      <c r="MFA143" s="3"/>
      <c r="MFC143" s="4"/>
      <c r="MFD143" s="5"/>
      <c r="MFK143" s="3"/>
      <c r="MFM143" s="3"/>
      <c r="MFO143" s="4"/>
      <c r="MFP143" s="5"/>
      <c r="MFW143" s="3"/>
      <c r="MFY143" s="3"/>
      <c r="MGA143" s="4"/>
      <c r="MGB143" s="5"/>
      <c r="MGI143" s="3"/>
      <c r="MGK143" s="3"/>
      <c r="MGM143" s="4"/>
      <c r="MGN143" s="5"/>
      <c r="MGU143" s="3"/>
      <c r="MGW143" s="3"/>
      <c r="MGY143" s="4"/>
      <c r="MGZ143" s="5"/>
      <c r="MHG143" s="3"/>
      <c r="MHI143" s="3"/>
      <c r="MHK143" s="4"/>
      <c r="MHL143" s="5"/>
      <c r="MHS143" s="3"/>
      <c r="MHU143" s="3"/>
      <c r="MHW143" s="4"/>
      <c r="MHX143" s="5"/>
      <c r="MIE143" s="3"/>
      <c r="MIG143" s="3"/>
      <c r="MII143" s="4"/>
      <c r="MIJ143" s="5"/>
      <c r="MIQ143" s="3"/>
      <c r="MIS143" s="3"/>
      <c r="MIU143" s="4"/>
      <c r="MIV143" s="5"/>
      <c r="MJC143" s="3"/>
      <c r="MJE143" s="3"/>
      <c r="MJG143" s="4"/>
      <c r="MJH143" s="5"/>
      <c r="MJO143" s="3"/>
      <c r="MJQ143" s="3"/>
      <c r="MJS143" s="4"/>
      <c r="MJT143" s="5"/>
      <c r="MKA143" s="3"/>
      <c r="MKC143" s="3"/>
      <c r="MKE143" s="4"/>
      <c r="MKF143" s="5"/>
      <c r="MKM143" s="3"/>
      <c r="MKO143" s="3"/>
      <c r="MKQ143" s="4"/>
      <c r="MKR143" s="5"/>
      <c r="MKY143" s="3"/>
      <c r="MLA143" s="3"/>
      <c r="MLC143" s="4"/>
      <c r="MLD143" s="5"/>
      <c r="MLK143" s="3"/>
      <c r="MLM143" s="3"/>
      <c r="MLO143" s="4"/>
      <c r="MLP143" s="5"/>
      <c r="MLW143" s="3"/>
      <c r="MLY143" s="3"/>
      <c r="MMA143" s="4"/>
      <c r="MMB143" s="5"/>
      <c r="MMI143" s="3"/>
      <c r="MMK143" s="3"/>
      <c r="MMM143" s="4"/>
      <c r="MMN143" s="5"/>
      <c r="MMU143" s="3"/>
      <c r="MMW143" s="3"/>
      <c r="MMY143" s="4"/>
      <c r="MMZ143" s="5"/>
      <c r="MNG143" s="3"/>
      <c r="MNI143" s="3"/>
      <c r="MNK143" s="4"/>
      <c r="MNL143" s="5"/>
      <c r="MNS143" s="3"/>
      <c r="MNU143" s="3"/>
      <c r="MNW143" s="4"/>
      <c r="MNX143" s="5"/>
      <c r="MOE143" s="3"/>
      <c r="MOG143" s="3"/>
      <c r="MOI143" s="4"/>
      <c r="MOJ143" s="5"/>
      <c r="MOQ143" s="3"/>
      <c r="MOS143" s="3"/>
      <c r="MOU143" s="4"/>
      <c r="MOV143" s="5"/>
      <c r="MPC143" s="3"/>
      <c r="MPE143" s="3"/>
      <c r="MPG143" s="4"/>
      <c r="MPH143" s="5"/>
      <c r="MPO143" s="3"/>
      <c r="MPQ143" s="3"/>
      <c r="MPS143" s="4"/>
      <c r="MPT143" s="5"/>
      <c r="MQA143" s="3"/>
      <c r="MQC143" s="3"/>
      <c r="MQE143" s="4"/>
      <c r="MQF143" s="5"/>
      <c r="MQM143" s="3"/>
      <c r="MQO143" s="3"/>
      <c r="MQQ143" s="4"/>
      <c r="MQR143" s="5"/>
      <c r="MQY143" s="3"/>
      <c r="MRA143" s="3"/>
      <c r="MRC143" s="4"/>
      <c r="MRD143" s="5"/>
      <c r="MRK143" s="3"/>
      <c r="MRM143" s="3"/>
      <c r="MRO143" s="4"/>
      <c r="MRP143" s="5"/>
      <c r="MRW143" s="3"/>
      <c r="MRY143" s="3"/>
      <c r="MSA143" s="4"/>
      <c r="MSB143" s="5"/>
      <c r="MSI143" s="3"/>
      <c r="MSK143" s="3"/>
      <c r="MSM143" s="4"/>
      <c r="MSN143" s="5"/>
      <c r="MSU143" s="3"/>
      <c r="MSW143" s="3"/>
      <c r="MSY143" s="4"/>
      <c r="MSZ143" s="5"/>
      <c r="MTG143" s="3"/>
      <c r="MTI143" s="3"/>
      <c r="MTK143" s="4"/>
      <c r="MTL143" s="5"/>
      <c r="MTS143" s="3"/>
      <c r="MTU143" s="3"/>
      <c r="MTW143" s="4"/>
      <c r="MTX143" s="5"/>
      <c r="MUE143" s="3"/>
      <c r="MUG143" s="3"/>
      <c r="MUI143" s="4"/>
      <c r="MUJ143" s="5"/>
      <c r="MUQ143" s="3"/>
      <c r="MUS143" s="3"/>
      <c r="MUU143" s="4"/>
      <c r="MUV143" s="5"/>
      <c r="MVC143" s="3"/>
      <c r="MVE143" s="3"/>
      <c r="MVG143" s="4"/>
      <c r="MVH143" s="5"/>
      <c r="MVO143" s="3"/>
      <c r="MVQ143" s="3"/>
      <c r="MVS143" s="4"/>
      <c r="MVT143" s="5"/>
      <c r="MWA143" s="3"/>
      <c r="MWC143" s="3"/>
      <c r="MWE143" s="4"/>
      <c r="MWF143" s="5"/>
      <c r="MWM143" s="3"/>
      <c r="MWO143" s="3"/>
      <c r="MWQ143" s="4"/>
      <c r="MWR143" s="5"/>
      <c r="MWY143" s="3"/>
      <c r="MXA143" s="3"/>
      <c r="MXC143" s="4"/>
      <c r="MXD143" s="5"/>
      <c r="MXK143" s="3"/>
      <c r="MXM143" s="3"/>
      <c r="MXO143" s="4"/>
      <c r="MXP143" s="5"/>
      <c r="MXW143" s="3"/>
      <c r="MXY143" s="3"/>
      <c r="MYA143" s="4"/>
      <c r="MYB143" s="5"/>
      <c r="MYI143" s="3"/>
      <c r="MYK143" s="3"/>
      <c r="MYM143" s="4"/>
      <c r="MYN143" s="5"/>
      <c r="MYU143" s="3"/>
      <c r="MYW143" s="3"/>
      <c r="MYY143" s="4"/>
      <c r="MYZ143" s="5"/>
      <c r="MZG143" s="3"/>
      <c r="MZI143" s="3"/>
      <c r="MZK143" s="4"/>
      <c r="MZL143" s="5"/>
      <c r="MZS143" s="3"/>
      <c r="MZU143" s="3"/>
      <c r="MZW143" s="4"/>
      <c r="MZX143" s="5"/>
      <c r="NAE143" s="3"/>
      <c r="NAG143" s="3"/>
      <c r="NAI143" s="4"/>
      <c r="NAJ143" s="5"/>
      <c r="NAQ143" s="3"/>
      <c r="NAS143" s="3"/>
      <c r="NAU143" s="4"/>
      <c r="NAV143" s="5"/>
      <c r="NBC143" s="3"/>
      <c r="NBE143" s="3"/>
      <c r="NBG143" s="4"/>
      <c r="NBH143" s="5"/>
      <c r="NBO143" s="3"/>
      <c r="NBQ143" s="3"/>
      <c r="NBS143" s="4"/>
      <c r="NBT143" s="5"/>
      <c r="NCA143" s="3"/>
      <c r="NCC143" s="3"/>
      <c r="NCE143" s="4"/>
      <c r="NCF143" s="5"/>
      <c r="NCM143" s="3"/>
      <c r="NCO143" s="3"/>
      <c r="NCQ143" s="4"/>
      <c r="NCR143" s="5"/>
      <c r="NCY143" s="3"/>
      <c r="NDA143" s="3"/>
      <c r="NDC143" s="4"/>
      <c r="NDD143" s="5"/>
      <c r="NDK143" s="3"/>
      <c r="NDM143" s="3"/>
      <c r="NDO143" s="4"/>
      <c r="NDP143" s="5"/>
      <c r="NDW143" s="3"/>
      <c r="NDY143" s="3"/>
      <c r="NEA143" s="4"/>
      <c r="NEB143" s="5"/>
      <c r="NEI143" s="3"/>
      <c r="NEK143" s="3"/>
      <c r="NEM143" s="4"/>
      <c r="NEN143" s="5"/>
      <c r="NEU143" s="3"/>
      <c r="NEW143" s="3"/>
      <c r="NEY143" s="4"/>
      <c r="NEZ143" s="5"/>
      <c r="NFG143" s="3"/>
      <c r="NFI143" s="3"/>
      <c r="NFK143" s="4"/>
      <c r="NFL143" s="5"/>
      <c r="NFS143" s="3"/>
      <c r="NFU143" s="3"/>
      <c r="NFW143" s="4"/>
      <c r="NFX143" s="5"/>
      <c r="NGE143" s="3"/>
      <c r="NGG143" s="3"/>
      <c r="NGI143" s="4"/>
      <c r="NGJ143" s="5"/>
      <c r="NGQ143" s="3"/>
      <c r="NGS143" s="3"/>
      <c r="NGU143" s="4"/>
      <c r="NGV143" s="5"/>
      <c r="NHC143" s="3"/>
      <c r="NHE143" s="3"/>
      <c r="NHG143" s="4"/>
      <c r="NHH143" s="5"/>
      <c r="NHO143" s="3"/>
      <c r="NHQ143" s="3"/>
      <c r="NHS143" s="4"/>
      <c r="NHT143" s="5"/>
      <c r="NIA143" s="3"/>
      <c r="NIC143" s="3"/>
      <c r="NIE143" s="4"/>
      <c r="NIF143" s="5"/>
      <c r="NIM143" s="3"/>
      <c r="NIO143" s="3"/>
      <c r="NIQ143" s="4"/>
      <c r="NIR143" s="5"/>
      <c r="NIY143" s="3"/>
      <c r="NJA143" s="3"/>
      <c r="NJC143" s="4"/>
      <c r="NJD143" s="5"/>
      <c r="NJK143" s="3"/>
      <c r="NJM143" s="3"/>
      <c r="NJO143" s="4"/>
      <c r="NJP143" s="5"/>
      <c r="NJW143" s="3"/>
      <c r="NJY143" s="3"/>
      <c r="NKA143" s="4"/>
      <c r="NKB143" s="5"/>
      <c r="NKI143" s="3"/>
      <c r="NKK143" s="3"/>
      <c r="NKM143" s="4"/>
      <c r="NKN143" s="5"/>
      <c r="NKU143" s="3"/>
      <c r="NKW143" s="3"/>
      <c r="NKY143" s="4"/>
      <c r="NKZ143" s="5"/>
      <c r="NLG143" s="3"/>
      <c r="NLI143" s="3"/>
      <c r="NLK143" s="4"/>
      <c r="NLL143" s="5"/>
      <c r="NLS143" s="3"/>
      <c r="NLU143" s="3"/>
      <c r="NLW143" s="4"/>
      <c r="NLX143" s="5"/>
      <c r="NME143" s="3"/>
      <c r="NMG143" s="3"/>
      <c r="NMI143" s="4"/>
      <c r="NMJ143" s="5"/>
      <c r="NMQ143" s="3"/>
      <c r="NMS143" s="3"/>
      <c r="NMU143" s="4"/>
      <c r="NMV143" s="5"/>
      <c r="NNC143" s="3"/>
      <c r="NNE143" s="3"/>
      <c r="NNG143" s="4"/>
      <c r="NNH143" s="5"/>
      <c r="NNO143" s="3"/>
      <c r="NNQ143" s="3"/>
      <c r="NNS143" s="4"/>
      <c r="NNT143" s="5"/>
      <c r="NOA143" s="3"/>
      <c r="NOC143" s="3"/>
      <c r="NOE143" s="4"/>
      <c r="NOF143" s="5"/>
      <c r="NOM143" s="3"/>
      <c r="NOO143" s="3"/>
      <c r="NOQ143" s="4"/>
      <c r="NOR143" s="5"/>
      <c r="NOY143" s="3"/>
      <c r="NPA143" s="3"/>
      <c r="NPC143" s="4"/>
      <c r="NPD143" s="5"/>
      <c r="NPK143" s="3"/>
      <c r="NPM143" s="3"/>
      <c r="NPO143" s="4"/>
      <c r="NPP143" s="5"/>
      <c r="NPW143" s="3"/>
      <c r="NPY143" s="3"/>
      <c r="NQA143" s="4"/>
      <c r="NQB143" s="5"/>
      <c r="NQI143" s="3"/>
      <c r="NQK143" s="3"/>
      <c r="NQM143" s="4"/>
      <c r="NQN143" s="5"/>
      <c r="NQU143" s="3"/>
      <c r="NQW143" s="3"/>
      <c r="NQY143" s="4"/>
      <c r="NQZ143" s="5"/>
      <c r="NRG143" s="3"/>
      <c r="NRI143" s="3"/>
      <c r="NRK143" s="4"/>
      <c r="NRL143" s="5"/>
      <c r="NRS143" s="3"/>
      <c r="NRU143" s="3"/>
      <c r="NRW143" s="4"/>
      <c r="NRX143" s="5"/>
      <c r="NSE143" s="3"/>
      <c r="NSG143" s="3"/>
      <c r="NSI143" s="4"/>
      <c r="NSJ143" s="5"/>
      <c r="NSQ143" s="3"/>
      <c r="NSS143" s="3"/>
      <c r="NSU143" s="4"/>
      <c r="NSV143" s="5"/>
      <c r="NTC143" s="3"/>
      <c r="NTE143" s="3"/>
      <c r="NTG143" s="4"/>
      <c r="NTH143" s="5"/>
      <c r="NTO143" s="3"/>
      <c r="NTQ143" s="3"/>
      <c r="NTS143" s="4"/>
      <c r="NTT143" s="5"/>
      <c r="NUA143" s="3"/>
      <c r="NUC143" s="3"/>
      <c r="NUE143" s="4"/>
      <c r="NUF143" s="5"/>
      <c r="NUM143" s="3"/>
      <c r="NUO143" s="3"/>
      <c r="NUQ143" s="4"/>
      <c r="NUR143" s="5"/>
      <c r="NUY143" s="3"/>
      <c r="NVA143" s="3"/>
      <c r="NVC143" s="4"/>
      <c r="NVD143" s="5"/>
      <c r="NVK143" s="3"/>
      <c r="NVM143" s="3"/>
      <c r="NVO143" s="4"/>
      <c r="NVP143" s="5"/>
      <c r="NVW143" s="3"/>
      <c r="NVY143" s="3"/>
      <c r="NWA143" s="4"/>
      <c r="NWB143" s="5"/>
      <c r="NWI143" s="3"/>
      <c r="NWK143" s="3"/>
      <c r="NWM143" s="4"/>
      <c r="NWN143" s="5"/>
      <c r="NWU143" s="3"/>
      <c r="NWW143" s="3"/>
      <c r="NWY143" s="4"/>
      <c r="NWZ143" s="5"/>
      <c r="NXG143" s="3"/>
      <c r="NXI143" s="3"/>
      <c r="NXK143" s="4"/>
      <c r="NXL143" s="5"/>
      <c r="NXS143" s="3"/>
      <c r="NXU143" s="3"/>
      <c r="NXW143" s="4"/>
      <c r="NXX143" s="5"/>
      <c r="NYE143" s="3"/>
      <c r="NYG143" s="3"/>
      <c r="NYI143" s="4"/>
      <c r="NYJ143" s="5"/>
      <c r="NYQ143" s="3"/>
      <c r="NYS143" s="3"/>
      <c r="NYU143" s="4"/>
      <c r="NYV143" s="5"/>
      <c r="NZC143" s="3"/>
      <c r="NZE143" s="3"/>
      <c r="NZG143" s="4"/>
      <c r="NZH143" s="5"/>
      <c r="NZO143" s="3"/>
      <c r="NZQ143" s="3"/>
      <c r="NZS143" s="4"/>
      <c r="NZT143" s="5"/>
      <c r="OAA143" s="3"/>
      <c r="OAC143" s="3"/>
      <c r="OAE143" s="4"/>
      <c r="OAF143" s="5"/>
      <c r="OAM143" s="3"/>
      <c r="OAO143" s="3"/>
      <c r="OAQ143" s="4"/>
      <c r="OAR143" s="5"/>
      <c r="OAY143" s="3"/>
      <c r="OBA143" s="3"/>
      <c r="OBC143" s="4"/>
      <c r="OBD143" s="5"/>
      <c r="OBK143" s="3"/>
      <c r="OBM143" s="3"/>
      <c r="OBO143" s="4"/>
      <c r="OBP143" s="5"/>
      <c r="OBW143" s="3"/>
      <c r="OBY143" s="3"/>
      <c r="OCA143" s="4"/>
      <c r="OCB143" s="5"/>
      <c r="OCI143" s="3"/>
      <c r="OCK143" s="3"/>
      <c r="OCM143" s="4"/>
      <c r="OCN143" s="5"/>
      <c r="OCU143" s="3"/>
      <c r="OCW143" s="3"/>
      <c r="OCY143" s="4"/>
      <c r="OCZ143" s="5"/>
      <c r="ODG143" s="3"/>
      <c r="ODI143" s="3"/>
      <c r="ODK143" s="4"/>
      <c r="ODL143" s="5"/>
      <c r="ODS143" s="3"/>
      <c r="ODU143" s="3"/>
      <c r="ODW143" s="4"/>
      <c r="ODX143" s="5"/>
      <c r="OEE143" s="3"/>
      <c r="OEG143" s="3"/>
      <c r="OEI143" s="4"/>
      <c r="OEJ143" s="5"/>
      <c r="OEQ143" s="3"/>
      <c r="OES143" s="3"/>
      <c r="OEU143" s="4"/>
      <c r="OEV143" s="5"/>
      <c r="OFC143" s="3"/>
      <c r="OFE143" s="3"/>
      <c r="OFG143" s="4"/>
      <c r="OFH143" s="5"/>
      <c r="OFO143" s="3"/>
      <c r="OFQ143" s="3"/>
      <c r="OFS143" s="4"/>
      <c r="OFT143" s="5"/>
      <c r="OGA143" s="3"/>
      <c r="OGC143" s="3"/>
      <c r="OGE143" s="4"/>
      <c r="OGF143" s="5"/>
      <c r="OGM143" s="3"/>
      <c r="OGO143" s="3"/>
      <c r="OGQ143" s="4"/>
      <c r="OGR143" s="5"/>
      <c r="OGY143" s="3"/>
      <c r="OHA143" s="3"/>
      <c r="OHC143" s="4"/>
      <c r="OHD143" s="5"/>
      <c r="OHK143" s="3"/>
      <c r="OHM143" s="3"/>
      <c r="OHO143" s="4"/>
      <c r="OHP143" s="5"/>
      <c r="OHW143" s="3"/>
      <c r="OHY143" s="3"/>
      <c r="OIA143" s="4"/>
      <c r="OIB143" s="5"/>
      <c r="OII143" s="3"/>
      <c r="OIK143" s="3"/>
      <c r="OIM143" s="4"/>
      <c r="OIN143" s="5"/>
      <c r="OIU143" s="3"/>
      <c r="OIW143" s="3"/>
      <c r="OIY143" s="4"/>
      <c r="OIZ143" s="5"/>
      <c r="OJG143" s="3"/>
      <c r="OJI143" s="3"/>
      <c r="OJK143" s="4"/>
      <c r="OJL143" s="5"/>
      <c r="OJS143" s="3"/>
      <c r="OJU143" s="3"/>
      <c r="OJW143" s="4"/>
      <c r="OJX143" s="5"/>
      <c r="OKE143" s="3"/>
      <c r="OKG143" s="3"/>
      <c r="OKI143" s="4"/>
      <c r="OKJ143" s="5"/>
      <c r="OKQ143" s="3"/>
      <c r="OKS143" s="3"/>
      <c r="OKU143" s="4"/>
      <c r="OKV143" s="5"/>
      <c r="OLC143" s="3"/>
      <c r="OLE143" s="3"/>
      <c r="OLG143" s="4"/>
      <c r="OLH143" s="5"/>
      <c r="OLO143" s="3"/>
      <c r="OLQ143" s="3"/>
      <c r="OLS143" s="4"/>
      <c r="OLT143" s="5"/>
      <c r="OMA143" s="3"/>
      <c r="OMC143" s="3"/>
      <c r="OME143" s="4"/>
      <c r="OMF143" s="5"/>
      <c r="OMM143" s="3"/>
      <c r="OMO143" s="3"/>
      <c r="OMQ143" s="4"/>
      <c r="OMR143" s="5"/>
      <c r="OMY143" s="3"/>
      <c r="ONA143" s="3"/>
      <c r="ONC143" s="4"/>
      <c r="OND143" s="5"/>
      <c r="ONK143" s="3"/>
      <c r="ONM143" s="3"/>
      <c r="ONO143" s="4"/>
      <c r="ONP143" s="5"/>
      <c r="ONW143" s="3"/>
      <c r="ONY143" s="3"/>
      <c r="OOA143" s="4"/>
      <c r="OOB143" s="5"/>
      <c r="OOI143" s="3"/>
      <c r="OOK143" s="3"/>
      <c r="OOM143" s="4"/>
      <c r="OON143" s="5"/>
      <c r="OOU143" s="3"/>
      <c r="OOW143" s="3"/>
      <c r="OOY143" s="4"/>
      <c r="OOZ143" s="5"/>
      <c r="OPG143" s="3"/>
      <c r="OPI143" s="3"/>
      <c r="OPK143" s="4"/>
      <c r="OPL143" s="5"/>
      <c r="OPS143" s="3"/>
      <c r="OPU143" s="3"/>
      <c r="OPW143" s="4"/>
      <c r="OPX143" s="5"/>
      <c r="OQE143" s="3"/>
      <c r="OQG143" s="3"/>
      <c r="OQI143" s="4"/>
      <c r="OQJ143" s="5"/>
      <c r="OQQ143" s="3"/>
      <c r="OQS143" s="3"/>
      <c r="OQU143" s="4"/>
      <c r="OQV143" s="5"/>
      <c r="ORC143" s="3"/>
      <c r="ORE143" s="3"/>
      <c r="ORG143" s="4"/>
      <c r="ORH143" s="5"/>
      <c r="ORO143" s="3"/>
      <c r="ORQ143" s="3"/>
      <c r="ORS143" s="4"/>
      <c r="ORT143" s="5"/>
      <c r="OSA143" s="3"/>
      <c r="OSC143" s="3"/>
      <c r="OSE143" s="4"/>
      <c r="OSF143" s="5"/>
      <c r="OSM143" s="3"/>
      <c r="OSO143" s="3"/>
      <c r="OSQ143" s="4"/>
      <c r="OSR143" s="5"/>
      <c r="OSY143" s="3"/>
      <c r="OTA143" s="3"/>
      <c r="OTC143" s="4"/>
      <c r="OTD143" s="5"/>
      <c r="OTK143" s="3"/>
      <c r="OTM143" s="3"/>
      <c r="OTO143" s="4"/>
      <c r="OTP143" s="5"/>
      <c r="OTW143" s="3"/>
      <c r="OTY143" s="3"/>
      <c r="OUA143" s="4"/>
      <c r="OUB143" s="5"/>
      <c r="OUI143" s="3"/>
      <c r="OUK143" s="3"/>
      <c r="OUM143" s="4"/>
      <c r="OUN143" s="5"/>
      <c r="OUU143" s="3"/>
      <c r="OUW143" s="3"/>
      <c r="OUY143" s="4"/>
      <c r="OUZ143" s="5"/>
      <c r="OVG143" s="3"/>
      <c r="OVI143" s="3"/>
      <c r="OVK143" s="4"/>
      <c r="OVL143" s="5"/>
      <c r="OVS143" s="3"/>
      <c r="OVU143" s="3"/>
      <c r="OVW143" s="4"/>
      <c r="OVX143" s="5"/>
      <c r="OWE143" s="3"/>
      <c r="OWG143" s="3"/>
      <c r="OWI143" s="4"/>
      <c r="OWJ143" s="5"/>
      <c r="OWQ143" s="3"/>
      <c r="OWS143" s="3"/>
      <c r="OWU143" s="4"/>
      <c r="OWV143" s="5"/>
      <c r="OXC143" s="3"/>
      <c r="OXE143" s="3"/>
      <c r="OXG143" s="4"/>
      <c r="OXH143" s="5"/>
      <c r="OXO143" s="3"/>
      <c r="OXQ143" s="3"/>
      <c r="OXS143" s="4"/>
      <c r="OXT143" s="5"/>
      <c r="OYA143" s="3"/>
      <c r="OYC143" s="3"/>
      <c r="OYE143" s="4"/>
      <c r="OYF143" s="5"/>
      <c r="OYM143" s="3"/>
      <c r="OYO143" s="3"/>
      <c r="OYQ143" s="4"/>
      <c r="OYR143" s="5"/>
      <c r="OYY143" s="3"/>
      <c r="OZA143" s="3"/>
      <c r="OZC143" s="4"/>
      <c r="OZD143" s="5"/>
      <c r="OZK143" s="3"/>
      <c r="OZM143" s="3"/>
      <c r="OZO143" s="4"/>
      <c r="OZP143" s="5"/>
      <c r="OZW143" s="3"/>
      <c r="OZY143" s="3"/>
      <c r="PAA143" s="4"/>
      <c r="PAB143" s="5"/>
      <c r="PAI143" s="3"/>
      <c r="PAK143" s="3"/>
      <c r="PAM143" s="4"/>
      <c r="PAN143" s="5"/>
      <c r="PAU143" s="3"/>
      <c r="PAW143" s="3"/>
      <c r="PAY143" s="4"/>
      <c r="PAZ143" s="5"/>
      <c r="PBG143" s="3"/>
      <c r="PBI143" s="3"/>
      <c r="PBK143" s="4"/>
      <c r="PBL143" s="5"/>
      <c r="PBS143" s="3"/>
      <c r="PBU143" s="3"/>
      <c r="PBW143" s="4"/>
      <c r="PBX143" s="5"/>
      <c r="PCE143" s="3"/>
      <c r="PCG143" s="3"/>
      <c r="PCI143" s="4"/>
      <c r="PCJ143" s="5"/>
      <c r="PCQ143" s="3"/>
      <c r="PCS143" s="3"/>
      <c r="PCU143" s="4"/>
      <c r="PCV143" s="5"/>
      <c r="PDC143" s="3"/>
      <c r="PDE143" s="3"/>
      <c r="PDG143" s="4"/>
      <c r="PDH143" s="5"/>
      <c r="PDO143" s="3"/>
      <c r="PDQ143" s="3"/>
      <c r="PDS143" s="4"/>
      <c r="PDT143" s="5"/>
      <c r="PEA143" s="3"/>
      <c r="PEC143" s="3"/>
      <c r="PEE143" s="4"/>
      <c r="PEF143" s="5"/>
      <c r="PEM143" s="3"/>
      <c r="PEO143" s="3"/>
      <c r="PEQ143" s="4"/>
      <c r="PER143" s="5"/>
      <c r="PEY143" s="3"/>
      <c r="PFA143" s="3"/>
      <c r="PFC143" s="4"/>
      <c r="PFD143" s="5"/>
      <c r="PFK143" s="3"/>
      <c r="PFM143" s="3"/>
      <c r="PFO143" s="4"/>
      <c r="PFP143" s="5"/>
      <c r="PFW143" s="3"/>
      <c r="PFY143" s="3"/>
      <c r="PGA143" s="4"/>
      <c r="PGB143" s="5"/>
      <c r="PGI143" s="3"/>
      <c r="PGK143" s="3"/>
      <c r="PGM143" s="4"/>
      <c r="PGN143" s="5"/>
      <c r="PGU143" s="3"/>
      <c r="PGW143" s="3"/>
      <c r="PGY143" s="4"/>
      <c r="PGZ143" s="5"/>
      <c r="PHG143" s="3"/>
      <c r="PHI143" s="3"/>
      <c r="PHK143" s="4"/>
      <c r="PHL143" s="5"/>
      <c r="PHS143" s="3"/>
      <c r="PHU143" s="3"/>
      <c r="PHW143" s="4"/>
      <c r="PHX143" s="5"/>
      <c r="PIE143" s="3"/>
      <c r="PIG143" s="3"/>
      <c r="PII143" s="4"/>
      <c r="PIJ143" s="5"/>
      <c r="PIQ143" s="3"/>
      <c r="PIS143" s="3"/>
      <c r="PIU143" s="4"/>
      <c r="PIV143" s="5"/>
      <c r="PJC143" s="3"/>
      <c r="PJE143" s="3"/>
      <c r="PJG143" s="4"/>
      <c r="PJH143" s="5"/>
      <c r="PJO143" s="3"/>
      <c r="PJQ143" s="3"/>
      <c r="PJS143" s="4"/>
      <c r="PJT143" s="5"/>
      <c r="PKA143" s="3"/>
      <c r="PKC143" s="3"/>
      <c r="PKE143" s="4"/>
      <c r="PKF143" s="5"/>
      <c r="PKM143" s="3"/>
      <c r="PKO143" s="3"/>
      <c r="PKQ143" s="4"/>
      <c r="PKR143" s="5"/>
      <c r="PKY143" s="3"/>
      <c r="PLA143" s="3"/>
      <c r="PLC143" s="4"/>
      <c r="PLD143" s="5"/>
      <c r="PLK143" s="3"/>
      <c r="PLM143" s="3"/>
      <c r="PLO143" s="4"/>
      <c r="PLP143" s="5"/>
      <c r="PLW143" s="3"/>
      <c r="PLY143" s="3"/>
      <c r="PMA143" s="4"/>
      <c r="PMB143" s="5"/>
      <c r="PMI143" s="3"/>
      <c r="PMK143" s="3"/>
      <c r="PMM143" s="4"/>
      <c r="PMN143" s="5"/>
      <c r="PMU143" s="3"/>
      <c r="PMW143" s="3"/>
      <c r="PMY143" s="4"/>
      <c r="PMZ143" s="5"/>
      <c r="PNG143" s="3"/>
      <c r="PNI143" s="3"/>
      <c r="PNK143" s="4"/>
      <c r="PNL143" s="5"/>
      <c r="PNS143" s="3"/>
      <c r="PNU143" s="3"/>
      <c r="PNW143" s="4"/>
      <c r="PNX143" s="5"/>
      <c r="POE143" s="3"/>
      <c r="POG143" s="3"/>
      <c r="POI143" s="4"/>
      <c r="POJ143" s="5"/>
      <c r="POQ143" s="3"/>
      <c r="POS143" s="3"/>
      <c r="POU143" s="4"/>
      <c r="POV143" s="5"/>
      <c r="PPC143" s="3"/>
      <c r="PPE143" s="3"/>
      <c r="PPG143" s="4"/>
      <c r="PPH143" s="5"/>
      <c r="PPO143" s="3"/>
      <c r="PPQ143" s="3"/>
      <c r="PPS143" s="4"/>
      <c r="PPT143" s="5"/>
      <c r="PQA143" s="3"/>
      <c r="PQC143" s="3"/>
      <c r="PQE143" s="4"/>
      <c r="PQF143" s="5"/>
      <c r="PQM143" s="3"/>
      <c r="PQO143" s="3"/>
      <c r="PQQ143" s="4"/>
      <c r="PQR143" s="5"/>
      <c r="PQY143" s="3"/>
      <c r="PRA143" s="3"/>
      <c r="PRC143" s="4"/>
      <c r="PRD143" s="5"/>
      <c r="PRK143" s="3"/>
      <c r="PRM143" s="3"/>
      <c r="PRO143" s="4"/>
      <c r="PRP143" s="5"/>
      <c r="PRW143" s="3"/>
      <c r="PRY143" s="3"/>
      <c r="PSA143" s="4"/>
      <c r="PSB143" s="5"/>
      <c r="PSI143" s="3"/>
      <c r="PSK143" s="3"/>
      <c r="PSM143" s="4"/>
      <c r="PSN143" s="5"/>
      <c r="PSU143" s="3"/>
      <c r="PSW143" s="3"/>
      <c r="PSY143" s="4"/>
      <c r="PSZ143" s="5"/>
      <c r="PTG143" s="3"/>
      <c r="PTI143" s="3"/>
      <c r="PTK143" s="4"/>
      <c r="PTL143" s="5"/>
      <c r="PTS143" s="3"/>
      <c r="PTU143" s="3"/>
      <c r="PTW143" s="4"/>
      <c r="PTX143" s="5"/>
      <c r="PUE143" s="3"/>
      <c r="PUG143" s="3"/>
      <c r="PUI143" s="4"/>
      <c r="PUJ143" s="5"/>
      <c r="PUQ143" s="3"/>
      <c r="PUS143" s="3"/>
      <c r="PUU143" s="4"/>
      <c r="PUV143" s="5"/>
      <c r="PVC143" s="3"/>
      <c r="PVE143" s="3"/>
      <c r="PVG143" s="4"/>
      <c r="PVH143" s="5"/>
      <c r="PVO143" s="3"/>
      <c r="PVQ143" s="3"/>
      <c r="PVS143" s="4"/>
      <c r="PVT143" s="5"/>
      <c r="PWA143" s="3"/>
      <c r="PWC143" s="3"/>
      <c r="PWE143" s="4"/>
      <c r="PWF143" s="5"/>
      <c r="PWM143" s="3"/>
      <c r="PWO143" s="3"/>
      <c r="PWQ143" s="4"/>
      <c r="PWR143" s="5"/>
      <c r="PWY143" s="3"/>
      <c r="PXA143" s="3"/>
      <c r="PXC143" s="4"/>
      <c r="PXD143" s="5"/>
      <c r="PXK143" s="3"/>
      <c r="PXM143" s="3"/>
      <c r="PXO143" s="4"/>
      <c r="PXP143" s="5"/>
      <c r="PXW143" s="3"/>
      <c r="PXY143" s="3"/>
      <c r="PYA143" s="4"/>
      <c r="PYB143" s="5"/>
      <c r="PYI143" s="3"/>
      <c r="PYK143" s="3"/>
      <c r="PYM143" s="4"/>
      <c r="PYN143" s="5"/>
      <c r="PYU143" s="3"/>
      <c r="PYW143" s="3"/>
      <c r="PYY143" s="4"/>
      <c r="PYZ143" s="5"/>
      <c r="PZG143" s="3"/>
      <c r="PZI143" s="3"/>
      <c r="PZK143" s="4"/>
      <c r="PZL143" s="5"/>
      <c r="PZS143" s="3"/>
      <c r="PZU143" s="3"/>
      <c r="PZW143" s="4"/>
      <c r="PZX143" s="5"/>
      <c r="QAE143" s="3"/>
      <c r="QAG143" s="3"/>
      <c r="QAI143" s="4"/>
      <c r="QAJ143" s="5"/>
      <c r="QAQ143" s="3"/>
      <c r="QAS143" s="3"/>
      <c r="QAU143" s="4"/>
      <c r="QAV143" s="5"/>
      <c r="QBC143" s="3"/>
      <c r="QBE143" s="3"/>
      <c r="QBG143" s="4"/>
      <c r="QBH143" s="5"/>
      <c r="QBO143" s="3"/>
      <c r="QBQ143" s="3"/>
      <c r="QBS143" s="4"/>
      <c r="QBT143" s="5"/>
      <c r="QCA143" s="3"/>
      <c r="QCC143" s="3"/>
      <c r="QCE143" s="4"/>
      <c r="QCF143" s="5"/>
      <c r="QCM143" s="3"/>
      <c r="QCO143" s="3"/>
      <c r="QCQ143" s="4"/>
      <c r="QCR143" s="5"/>
      <c r="QCY143" s="3"/>
      <c r="QDA143" s="3"/>
      <c r="QDC143" s="4"/>
      <c r="QDD143" s="5"/>
      <c r="QDK143" s="3"/>
      <c r="QDM143" s="3"/>
      <c r="QDO143" s="4"/>
      <c r="QDP143" s="5"/>
      <c r="QDW143" s="3"/>
      <c r="QDY143" s="3"/>
      <c r="QEA143" s="4"/>
      <c r="QEB143" s="5"/>
      <c r="QEI143" s="3"/>
      <c r="QEK143" s="3"/>
      <c r="QEM143" s="4"/>
      <c r="QEN143" s="5"/>
      <c r="QEU143" s="3"/>
      <c r="QEW143" s="3"/>
      <c r="QEY143" s="4"/>
      <c r="QEZ143" s="5"/>
      <c r="QFG143" s="3"/>
      <c r="QFI143" s="3"/>
      <c r="QFK143" s="4"/>
      <c r="QFL143" s="5"/>
      <c r="QFS143" s="3"/>
      <c r="QFU143" s="3"/>
      <c r="QFW143" s="4"/>
      <c r="QFX143" s="5"/>
      <c r="QGE143" s="3"/>
      <c r="QGG143" s="3"/>
      <c r="QGI143" s="4"/>
      <c r="QGJ143" s="5"/>
      <c r="QGQ143" s="3"/>
      <c r="QGS143" s="3"/>
      <c r="QGU143" s="4"/>
      <c r="QGV143" s="5"/>
      <c r="QHC143" s="3"/>
      <c r="QHE143" s="3"/>
      <c r="QHG143" s="4"/>
      <c r="QHH143" s="5"/>
      <c r="QHO143" s="3"/>
      <c r="QHQ143" s="3"/>
      <c r="QHS143" s="4"/>
      <c r="QHT143" s="5"/>
      <c r="QIA143" s="3"/>
      <c r="QIC143" s="3"/>
      <c r="QIE143" s="4"/>
      <c r="QIF143" s="5"/>
      <c r="QIM143" s="3"/>
      <c r="QIO143" s="3"/>
      <c r="QIQ143" s="4"/>
      <c r="QIR143" s="5"/>
      <c r="QIY143" s="3"/>
      <c r="QJA143" s="3"/>
      <c r="QJC143" s="4"/>
      <c r="QJD143" s="5"/>
      <c r="QJK143" s="3"/>
      <c r="QJM143" s="3"/>
      <c r="QJO143" s="4"/>
      <c r="QJP143" s="5"/>
      <c r="QJW143" s="3"/>
      <c r="QJY143" s="3"/>
      <c r="QKA143" s="4"/>
      <c r="QKB143" s="5"/>
      <c r="QKI143" s="3"/>
      <c r="QKK143" s="3"/>
      <c r="QKM143" s="4"/>
      <c r="QKN143" s="5"/>
      <c r="QKU143" s="3"/>
      <c r="QKW143" s="3"/>
      <c r="QKY143" s="4"/>
      <c r="QKZ143" s="5"/>
      <c r="QLG143" s="3"/>
      <c r="QLI143" s="3"/>
      <c r="QLK143" s="4"/>
      <c r="QLL143" s="5"/>
      <c r="QLS143" s="3"/>
      <c r="QLU143" s="3"/>
      <c r="QLW143" s="4"/>
      <c r="QLX143" s="5"/>
      <c r="QME143" s="3"/>
      <c r="QMG143" s="3"/>
      <c r="QMI143" s="4"/>
      <c r="QMJ143" s="5"/>
      <c r="QMQ143" s="3"/>
      <c r="QMS143" s="3"/>
      <c r="QMU143" s="4"/>
      <c r="QMV143" s="5"/>
      <c r="QNC143" s="3"/>
      <c r="QNE143" s="3"/>
      <c r="QNG143" s="4"/>
      <c r="QNH143" s="5"/>
      <c r="QNO143" s="3"/>
      <c r="QNQ143" s="3"/>
      <c r="QNS143" s="4"/>
      <c r="QNT143" s="5"/>
      <c r="QOA143" s="3"/>
      <c r="QOC143" s="3"/>
      <c r="QOE143" s="4"/>
      <c r="QOF143" s="5"/>
      <c r="QOM143" s="3"/>
      <c r="QOO143" s="3"/>
      <c r="QOQ143" s="4"/>
      <c r="QOR143" s="5"/>
      <c r="QOY143" s="3"/>
      <c r="QPA143" s="3"/>
      <c r="QPC143" s="4"/>
      <c r="QPD143" s="5"/>
      <c r="QPK143" s="3"/>
      <c r="QPM143" s="3"/>
      <c r="QPO143" s="4"/>
      <c r="QPP143" s="5"/>
      <c r="QPW143" s="3"/>
      <c r="QPY143" s="3"/>
      <c r="QQA143" s="4"/>
      <c r="QQB143" s="5"/>
      <c r="QQI143" s="3"/>
      <c r="QQK143" s="3"/>
      <c r="QQM143" s="4"/>
      <c r="QQN143" s="5"/>
      <c r="QQU143" s="3"/>
      <c r="QQW143" s="3"/>
      <c r="QQY143" s="4"/>
      <c r="QQZ143" s="5"/>
      <c r="QRG143" s="3"/>
      <c r="QRI143" s="3"/>
      <c r="QRK143" s="4"/>
      <c r="QRL143" s="5"/>
      <c r="QRS143" s="3"/>
      <c r="QRU143" s="3"/>
      <c r="QRW143" s="4"/>
      <c r="QRX143" s="5"/>
      <c r="QSE143" s="3"/>
      <c r="QSG143" s="3"/>
      <c r="QSI143" s="4"/>
      <c r="QSJ143" s="5"/>
      <c r="QSQ143" s="3"/>
      <c r="QSS143" s="3"/>
      <c r="QSU143" s="4"/>
      <c r="QSV143" s="5"/>
      <c r="QTC143" s="3"/>
      <c r="QTE143" s="3"/>
      <c r="QTG143" s="4"/>
      <c r="QTH143" s="5"/>
      <c r="QTO143" s="3"/>
      <c r="QTQ143" s="3"/>
      <c r="QTS143" s="4"/>
      <c r="QTT143" s="5"/>
      <c r="QUA143" s="3"/>
      <c r="QUC143" s="3"/>
      <c r="QUE143" s="4"/>
      <c r="QUF143" s="5"/>
      <c r="QUM143" s="3"/>
      <c r="QUO143" s="3"/>
      <c r="QUQ143" s="4"/>
      <c r="QUR143" s="5"/>
      <c r="QUY143" s="3"/>
      <c r="QVA143" s="3"/>
      <c r="QVC143" s="4"/>
      <c r="QVD143" s="5"/>
      <c r="QVK143" s="3"/>
      <c r="QVM143" s="3"/>
      <c r="QVO143" s="4"/>
      <c r="QVP143" s="5"/>
      <c r="QVW143" s="3"/>
      <c r="QVY143" s="3"/>
      <c r="QWA143" s="4"/>
      <c r="QWB143" s="5"/>
      <c r="QWI143" s="3"/>
      <c r="QWK143" s="3"/>
      <c r="QWM143" s="4"/>
      <c r="QWN143" s="5"/>
      <c r="QWU143" s="3"/>
      <c r="QWW143" s="3"/>
      <c r="QWY143" s="4"/>
      <c r="QWZ143" s="5"/>
      <c r="QXG143" s="3"/>
      <c r="QXI143" s="3"/>
      <c r="QXK143" s="4"/>
      <c r="QXL143" s="5"/>
      <c r="QXS143" s="3"/>
      <c r="QXU143" s="3"/>
      <c r="QXW143" s="4"/>
      <c r="QXX143" s="5"/>
      <c r="QYE143" s="3"/>
      <c r="QYG143" s="3"/>
      <c r="QYI143" s="4"/>
      <c r="QYJ143" s="5"/>
      <c r="QYQ143" s="3"/>
      <c r="QYS143" s="3"/>
      <c r="QYU143" s="4"/>
      <c r="QYV143" s="5"/>
      <c r="QZC143" s="3"/>
      <c r="QZE143" s="3"/>
      <c r="QZG143" s="4"/>
      <c r="QZH143" s="5"/>
      <c r="QZO143" s="3"/>
      <c r="QZQ143" s="3"/>
      <c r="QZS143" s="4"/>
      <c r="QZT143" s="5"/>
      <c r="RAA143" s="3"/>
      <c r="RAC143" s="3"/>
      <c r="RAE143" s="4"/>
      <c r="RAF143" s="5"/>
      <c r="RAM143" s="3"/>
      <c r="RAO143" s="3"/>
      <c r="RAQ143" s="4"/>
      <c r="RAR143" s="5"/>
      <c r="RAY143" s="3"/>
      <c r="RBA143" s="3"/>
      <c r="RBC143" s="4"/>
      <c r="RBD143" s="5"/>
      <c r="RBK143" s="3"/>
      <c r="RBM143" s="3"/>
      <c r="RBO143" s="4"/>
      <c r="RBP143" s="5"/>
      <c r="RBW143" s="3"/>
      <c r="RBY143" s="3"/>
      <c r="RCA143" s="4"/>
      <c r="RCB143" s="5"/>
      <c r="RCI143" s="3"/>
      <c r="RCK143" s="3"/>
      <c r="RCM143" s="4"/>
      <c r="RCN143" s="5"/>
      <c r="RCU143" s="3"/>
      <c r="RCW143" s="3"/>
      <c r="RCY143" s="4"/>
      <c r="RCZ143" s="5"/>
      <c r="RDG143" s="3"/>
      <c r="RDI143" s="3"/>
      <c r="RDK143" s="4"/>
      <c r="RDL143" s="5"/>
      <c r="RDS143" s="3"/>
      <c r="RDU143" s="3"/>
      <c r="RDW143" s="4"/>
      <c r="RDX143" s="5"/>
      <c r="REE143" s="3"/>
      <c r="REG143" s="3"/>
      <c r="REI143" s="4"/>
      <c r="REJ143" s="5"/>
      <c r="REQ143" s="3"/>
      <c r="RES143" s="3"/>
      <c r="REU143" s="4"/>
      <c r="REV143" s="5"/>
      <c r="RFC143" s="3"/>
      <c r="RFE143" s="3"/>
      <c r="RFG143" s="4"/>
      <c r="RFH143" s="5"/>
      <c r="RFO143" s="3"/>
      <c r="RFQ143" s="3"/>
      <c r="RFS143" s="4"/>
      <c r="RFT143" s="5"/>
      <c r="RGA143" s="3"/>
      <c r="RGC143" s="3"/>
      <c r="RGE143" s="4"/>
      <c r="RGF143" s="5"/>
      <c r="RGM143" s="3"/>
      <c r="RGO143" s="3"/>
      <c r="RGQ143" s="4"/>
      <c r="RGR143" s="5"/>
      <c r="RGY143" s="3"/>
      <c r="RHA143" s="3"/>
      <c r="RHC143" s="4"/>
      <c r="RHD143" s="5"/>
      <c r="RHK143" s="3"/>
      <c r="RHM143" s="3"/>
      <c r="RHO143" s="4"/>
      <c r="RHP143" s="5"/>
      <c r="RHW143" s="3"/>
      <c r="RHY143" s="3"/>
      <c r="RIA143" s="4"/>
      <c r="RIB143" s="5"/>
      <c r="RII143" s="3"/>
      <c r="RIK143" s="3"/>
      <c r="RIM143" s="4"/>
      <c r="RIN143" s="5"/>
      <c r="RIU143" s="3"/>
      <c r="RIW143" s="3"/>
      <c r="RIY143" s="4"/>
      <c r="RIZ143" s="5"/>
      <c r="RJG143" s="3"/>
      <c r="RJI143" s="3"/>
      <c r="RJK143" s="4"/>
      <c r="RJL143" s="5"/>
      <c r="RJS143" s="3"/>
      <c r="RJU143" s="3"/>
      <c r="RJW143" s="4"/>
      <c r="RJX143" s="5"/>
      <c r="RKE143" s="3"/>
      <c r="RKG143" s="3"/>
      <c r="RKI143" s="4"/>
      <c r="RKJ143" s="5"/>
      <c r="RKQ143" s="3"/>
      <c r="RKS143" s="3"/>
      <c r="RKU143" s="4"/>
      <c r="RKV143" s="5"/>
      <c r="RLC143" s="3"/>
      <c r="RLE143" s="3"/>
      <c r="RLG143" s="4"/>
      <c r="RLH143" s="5"/>
      <c r="RLO143" s="3"/>
      <c r="RLQ143" s="3"/>
      <c r="RLS143" s="4"/>
      <c r="RLT143" s="5"/>
      <c r="RMA143" s="3"/>
      <c r="RMC143" s="3"/>
      <c r="RME143" s="4"/>
      <c r="RMF143" s="5"/>
      <c r="RMM143" s="3"/>
      <c r="RMO143" s="3"/>
      <c r="RMQ143" s="4"/>
      <c r="RMR143" s="5"/>
      <c r="RMY143" s="3"/>
      <c r="RNA143" s="3"/>
      <c r="RNC143" s="4"/>
      <c r="RND143" s="5"/>
      <c r="RNK143" s="3"/>
      <c r="RNM143" s="3"/>
      <c r="RNO143" s="4"/>
      <c r="RNP143" s="5"/>
      <c r="RNW143" s="3"/>
      <c r="RNY143" s="3"/>
      <c r="ROA143" s="4"/>
      <c r="ROB143" s="5"/>
      <c r="ROI143" s="3"/>
      <c r="ROK143" s="3"/>
      <c r="ROM143" s="4"/>
      <c r="RON143" s="5"/>
      <c r="ROU143" s="3"/>
      <c r="ROW143" s="3"/>
      <c r="ROY143" s="4"/>
      <c r="ROZ143" s="5"/>
      <c r="RPG143" s="3"/>
      <c r="RPI143" s="3"/>
      <c r="RPK143" s="4"/>
      <c r="RPL143" s="5"/>
      <c r="RPS143" s="3"/>
      <c r="RPU143" s="3"/>
      <c r="RPW143" s="4"/>
      <c r="RPX143" s="5"/>
      <c r="RQE143" s="3"/>
      <c r="RQG143" s="3"/>
      <c r="RQI143" s="4"/>
      <c r="RQJ143" s="5"/>
      <c r="RQQ143" s="3"/>
      <c r="RQS143" s="3"/>
      <c r="RQU143" s="4"/>
      <c r="RQV143" s="5"/>
      <c r="RRC143" s="3"/>
      <c r="RRE143" s="3"/>
      <c r="RRG143" s="4"/>
      <c r="RRH143" s="5"/>
      <c r="RRO143" s="3"/>
      <c r="RRQ143" s="3"/>
      <c r="RRS143" s="4"/>
      <c r="RRT143" s="5"/>
      <c r="RSA143" s="3"/>
      <c r="RSC143" s="3"/>
      <c r="RSE143" s="4"/>
      <c r="RSF143" s="5"/>
      <c r="RSM143" s="3"/>
      <c r="RSO143" s="3"/>
      <c r="RSQ143" s="4"/>
      <c r="RSR143" s="5"/>
      <c r="RSY143" s="3"/>
      <c r="RTA143" s="3"/>
      <c r="RTC143" s="4"/>
      <c r="RTD143" s="5"/>
      <c r="RTK143" s="3"/>
      <c r="RTM143" s="3"/>
      <c r="RTO143" s="4"/>
      <c r="RTP143" s="5"/>
      <c r="RTW143" s="3"/>
      <c r="RTY143" s="3"/>
      <c r="RUA143" s="4"/>
      <c r="RUB143" s="5"/>
      <c r="RUI143" s="3"/>
      <c r="RUK143" s="3"/>
      <c r="RUM143" s="4"/>
      <c r="RUN143" s="5"/>
      <c r="RUU143" s="3"/>
      <c r="RUW143" s="3"/>
      <c r="RUY143" s="4"/>
      <c r="RUZ143" s="5"/>
      <c r="RVG143" s="3"/>
      <c r="RVI143" s="3"/>
      <c r="RVK143" s="4"/>
      <c r="RVL143" s="5"/>
      <c r="RVS143" s="3"/>
      <c r="RVU143" s="3"/>
      <c r="RVW143" s="4"/>
      <c r="RVX143" s="5"/>
      <c r="RWE143" s="3"/>
      <c r="RWG143" s="3"/>
      <c r="RWI143" s="4"/>
      <c r="RWJ143" s="5"/>
      <c r="RWQ143" s="3"/>
      <c r="RWS143" s="3"/>
      <c r="RWU143" s="4"/>
      <c r="RWV143" s="5"/>
      <c r="RXC143" s="3"/>
      <c r="RXE143" s="3"/>
      <c r="RXG143" s="4"/>
      <c r="RXH143" s="5"/>
      <c r="RXO143" s="3"/>
      <c r="RXQ143" s="3"/>
      <c r="RXS143" s="4"/>
      <c r="RXT143" s="5"/>
      <c r="RYA143" s="3"/>
      <c r="RYC143" s="3"/>
      <c r="RYE143" s="4"/>
      <c r="RYF143" s="5"/>
      <c r="RYM143" s="3"/>
      <c r="RYO143" s="3"/>
      <c r="RYQ143" s="4"/>
      <c r="RYR143" s="5"/>
      <c r="RYY143" s="3"/>
      <c r="RZA143" s="3"/>
      <c r="RZC143" s="4"/>
      <c r="RZD143" s="5"/>
      <c r="RZK143" s="3"/>
      <c r="RZM143" s="3"/>
      <c r="RZO143" s="4"/>
      <c r="RZP143" s="5"/>
      <c r="RZW143" s="3"/>
      <c r="RZY143" s="3"/>
      <c r="SAA143" s="4"/>
      <c r="SAB143" s="5"/>
      <c r="SAI143" s="3"/>
      <c r="SAK143" s="3"/>
      <c r="SAM143" s="4"/>
      <c r="SAN143" s="5"/>
      <c r="SAU143" s="3"/>
      <c r="SAW143" s="3"/>
      <c r="SAY143" s="4"/>
      <c r="SAZ143" s="5"/>
      <c r="SBG143" s="3"/>
      <c r="SBI143" s="3"/>
      <c r="SBK143" s="4"/>
      <c r="SBL143" s="5"/>
      <c r="SBS143" s="3"/>
      <c r="SBU143" s="3"/>
      <c r="SBW143" s="4"/>
      <c r="SBX143" s="5"/>
      <c r="SCE143" s="3"/>
      <c r="SCG143" s="3"/>
      <c r="SCI143" s="4"/>
      <c r="SCJ143" s="5"/>
      <c r="SCQ143" s="3"/>
      <c r="SCS143" s="3"/>
      <c r="SCU143" s="4"/>
      <c r="SCV143" s="5"/>
      <c r="SDC143" s="3"/>
      <c r="SDE143" s="3"/>
      <c r="SDG143" s="4"/>
      <c r="SDH143" s="5"/>
      <c r="SDO143" s="3"/>
      <c r="SDQ143" s="3"/>
      <c r="SDS143" s="4"/>
      <c r="SDT143" s="5"/>
      <c r="SEA143" s="3"/>
      <c r="SEC143" s="3"/>
      <c r="SEE143" s="4"/>
      <c r="SEF143" s="5"/>
      <c r="SEM143" s="3"/>
      <c r="SEO143" s="3"/>
      <c r="SEQ143" s="4"/>
      <c r="SER143" s="5"/>
      <c r="SEY143" s="3"/>
      <c r="SFA143" s="3"/>
      <c r="SFC143" s="4"/>
      <c r="SFD143" s="5"/>
      <c r="SFK143" s="3"/>
      <c r="SFM143" s="3"/>
      <c r="SFO143" s="4"/>
      <c r="SFP143" s="5"/>
      <c r="SFW143" s="3"/>
      <c r="SFY143" s="3"/>
      <c r="SGA143" s="4"/>
      <c r="SGB143" s="5"/>
      <c r="SGI143" s="3"/>
      <c r="SGK143" s="3"/>
      <c r="SGM143" s="4"/>
      <c r="SGN143" s="5"/>
      <c r="SGU143" s="3"/>
      <c r="SGW143" s="3"/>
      <c r="SGY143" s="4"/>
      <c r="SGZ143" s="5"/>
      <c r="SHG143" s="3"/>
      <c r="SHI143" s="3"/>
      <c r="SHK143" s="4"/>
      <c r="SHL143" s="5"/>
      <c r="SHS143" s="3"/>
      <c r="SHU143" s="3"/>
      <c r="SHW143" s="4"/>
      <c r="SHX143" s="5"/>
      <c r="SIE143" s="3"/>
      <c r="SIG143" s="3"/>
      <c r="SII143" s="4"/>
      <c r="SIJ143" s="5"/>
      <c r="SIQ143" s="3"/>
      <c r="SIS143" s="3"/>
      <c r="SIU143" s="4"/>
      <c r="SIV143" s="5"/>
      <c r="SJC143" s="3"/>
      <c r="SJE143" s="3"/>
      <c r="SJG143" s="4"/>
      <c r="SJH143" s="5"/>
      <c r="SJO143" s="3"/>
      <c r="SJQ143" s="3"/>
      <c r="SJS143" s="4"/>
      <c r="SJT143" s="5"/>
      <c r="SKA143" s="3"/>
      <c r="SKC143" s="3"/>
      <c r="SKE143" s="4"/>
      <c r="SKF143" s="5"/>
      <c r="SKM143" s="3"/>
      <c r="SKO143" s="3"/>
      <c r="SKQ143" s="4"/>
      <c r="SKR143" s="5"/>
      <c r="SKY143" s="3"/>
      <c r="SLA143" s="3"/>
      <c r="SLC143" s="4"/>
      <c r="SLD143" s="5"/>
      <c r="SLK143" s="3"/>
      <c r="SLM143" s="3"/>
      <c r="SLO143" s="4"/>
      <c r="SLP143" s="5"/>
      <c r="SLW143" s="3"/>
      <c r="SLY143" s="3"/>
      <c r="SMA143" s="4"/>
      <c r="SMB143" s="5"/>
      <c r="SMI143" s="3"/>
      <c r="SMK143" s="3"/>
      <c r="SMM143" s="4"/>
      <c r="SMN143" s="5"/>
      <c r="SMU143" s="3"/>
      <c r="SMW143" s="3"/>
      <c r="SMY143" s="4"/>
      <c r="SMZ143" s="5"/>
      <c r="SNG143" s="3"/>
      <c r="SNI143" s="3"/>
      <c r="SNK143" s="4"/>
      <c r="SNL143" s="5"/>
      <c r="SNS143" s="3"/>
      <c r="SNU143" s="3"/>
      <c r="SNW143" s="4"/>
      <c r="SNX143" s="5"/>
      <c r="SOE143" s="3"/>
      <c r="SOG143" s="3"/>
      <c r="SOI143" s="4"/>
      <c r="SOJ143" s="5"/>
      <c r="SOQ143" s="3"/>
      <c r="SOS143" s="3"/>
      <c r="SOU143" s="4"/>
      <c r="SOV143" s="5"/>
      <c r="SPC143" s="3"/>
      <c r="SPE143" s="3"/>
      <c r="SPG143" s="4"/>
      <c r="SPH143" s="5"/>
      <c r="SPO143" s="3"/>
      <c r="SPQ143" s="3"/>
      <c r="SPS143" s="4"/>
      <c r="SPT143" s="5"/>
      <c r="SQA143" s="3"/>
      <c r="SQC143" s="3"/>
      <c r="SQE143" s="4"/>
      <c r="SQF143" s="5"/>
      <c r="SQM143" s="3"/>
      <c r="SQO143" s="3"/>
      <c r="SQQ143" s="4"/>
      <c r="SQR143" s="5"/>
      <c r="SQY143" s="3"/>
      <c r="SRA143" s="3"/>
      <c r="SRC143" s="4"/>
      <c r="SRD143" s="5"/>
      <c r="SRK143" s="3"/>
      <c r="SRM143" s="3"/>
      <c r="SRO143" s="4"/>
      <c r="SRP143" s="5"/>
      <c r="SRW143" s="3"/>
      <c r="SRY143" s="3"/>
      <c r="SSA143" s="4"/>
      <c r="SSB143" s="5"/>
      <c r="SSI143" s="3"/>
      <c r="SSK143" s="3"/>
      <c r="SSM143" s="4"/>
      <c r="SSN143" s="5"/>
      <c r="SSU143" s="3"/>
      <c r="SSW143" s="3"/>
      <c r="SSY143" s="4"/>
      <c r="SSZ143" s="5"/>
      <c r="STG143" s="3"/>
      <c r="STI143" s="3"/>
      <c r="STK143" s="4"/>
      <c r="STL143" s="5"/>
      <c r="STS143" s="3"/>
      <c r="STU143" s="3"/>
      <c r="STW143" s="4"/>
      <c r="STX143" s="5"/>
      <c r="SUE143" s="3"/>
      <c r="SUG143" s="3"/>
      <c r="SUI143" s="4"/>
      <c r="SUJ143" s="5"/>
      <c r="SUQ143" s="3"/>
      <c r="SUS143" s="3"/>
      <c r="SUU143" s="4"/>
      <c r="SUV143" s="5"/>
      <c r="SVC143" s="3"/>
      <c r="SVE143" s="3"/>
      <c r="SVG143" s="4"/>
      <c r="SVH143" s="5"/>
      <c r="SVO143" s="3"/>
      <c r="SVQ143" s="3"/>
      <c r="SVS143" s="4"/>
      <c r="SVT143" s="5"/>
      <c r="SWA143" s="3"/>
      <c r="SWC143" s="3"/>
      <c r="SWE143" s="4"/>
      <c r="SWF143" s="5"/>
      <c r="SWM143" s="3"/>
      <c r="SWO143" s="3"/>
      <c r="SWQ143" s="4"/>
      <c r="SWR143" s="5"/>
      <c r="SWY143" s="3"/>
      <c r="SXA143" s="3"/>
      <c r="SXC143" s="4"/>
      <c r="SXD143" s="5"/>
      <c r="SXK143" s="3"/>
      <c r="SXM143" s="3"/>
      <c r="SXO143" s="4"/>
      <c r="SXP143" s="5"/>
      <c r="SXW143" s="3"/>
      <c r="SXY143" s="3"/>
      <c r="SYA143" s="4"/>
      <c r="SYB143" s="5"/>
      <c r="SYI143" s="3"/>
      <c r="SYK143" s="3"/>
      <c r="SYM143" s="4"/>
      <c r="SYN143" s="5"/>
      <c r="SYU143" s="3"/>
      <c r="SYW143" s="3"/>
      <c r="SYY143" s="4"/>
      <c r="SYZ143" s="5"/>
      <c r="SZG143" s="3"/>
      <c r="SZI143" s="3"/>
      <c r="SZK143" s="4"/>
      <c r="SZL143" s="5"/>
      <c r="SZS143" s="3"/>
      <c r="SZU143" s="3"/>
      <c r="SZW143" s="4"/>
      <c r="SZX143" s="5"/>
      <c r="TAE143" s="3"/>
      <c r="TAG143" s="3"/>
      <c r="TAI143" s="4"/>
      <c r="TAJ143" s="5"/>
      <c r="TAQ143" s="3"/>
      <c r="TAS143" s="3"/>
      <c r="TAU143" s="4"/>
      <c r="TAV143" s="5"/>
      <c r="TBC143" s="3"/>
      <c r="TBE143" s="3"/>
      <c r="TBG143" s="4"/>
      <c r="TBH143" s="5"/>
      <c r="TBO143" s="3"/>
      <c r="TBQ143" s="3"/>
      <c r="TBS143" s="4"/>
      <c r="TBT143" s="5"/>
      <c r="TCA143" s="3"/>
      <c r="TCC143" s="3"/>
      <c r="TCE143" s="4"/>
      <c r="TCF143" s="5"/>
      <c r="TCM143" s="3"/>
      <c r="TCO143" s="3"/>
      <c r="TCQ143" s="4"/>
      <c r="TCR143" s="5"/>
      <c r="TCY143" s="3"/>
      <c r="TDA143" s="3"/>
      <c r="TDC143" s="4"/>
      <c r="TDD143" s="5"/>
      <c r="TDK143" s="3"/>
      <c r="TDM143" s="3"/>
      <c r="TDO143" s="4"/>
      <c r="TDP143" s="5"/>
      <c r="TDW143" s="3"/>
      <c r="TDY143" s="3"/>
      <c r="TEA143" s="4"/>
      <c r="TEB143" s="5"/>
      <c r="TEI143" s="3"/>
      <c r="TEK143" s="3"/>
      <c r="TEM143" s="4"/>
      <c r="TEN143" s="5"/>
      <c r="TEU143" s="3"/>
      <c r="TEW143" s="3"/>
      <c r="TEY143" s="4"/>
      <c r="TEZ143" s="5"/>
      <c r="TFG143" s="3"/>
      <c r="TFI143" s="3"/>
      <c r="TFK143" s="4"/>
      <c r="TFL143" s="5"/>
      <c r="TFS143" s="3"/>
      <c r="TFU143" s="3"/>
      <c r="TFW143" s="4"/>
      <c r="TFX143" s="5"/>
      <c r="TGE143" s="3"/>
      <c r="TGG143" s="3"/>
      <c r="TGI143" s="4"/>
      <c r="TGJ143" s="5"/>
      <c r="TGQ143" s="3"/>
      <c r="TGS143" s="3"/>
      <c r="TGU143" s="4"/>
      <c r="TGV143" s="5"/>
      <c r="THC143" s="3"/>
      <c r="THE143" s="3"/>
      <c r="THG143" s="4"/>
      <c r="THH143" s="5"/>
      <c r="THO143" s="3"/>
      <c r="THQ143" s="3"/>
      <c r="THS143" s="4"/>
      <c r="THT143" s="5"/>
      <c r="TIA143" s="3"/>
      <c r="TIC143" s="3"/>
      <c r="TIE143" s="4"/>
      <c r="TIF143" s="5"/>
      <c r="TIM143" s="3"/>
      <c r="TIO143" s="3"/>
      <c r="TIQ143" s="4"/>
      <c r="TIR143" s="5"/>
      <c r="TIY143" s="3"/>
      <c r="TJA143" s="3"/>
      <c r="TJC143" s="4"/>
      <c r="TJD143" s="5"/>
      <c r="TJK143" s="3"/>
      <c r="TJM143" s="3"/>
      <c r="TJO143" s="4"/>
      <c r="TJP143" s="5"/>
      <c r="TJW143" s="3"/>
      <c r="TJY143" s="3"/>
      <c r="TKA143" s="4"/>
      <c r="TKB143" s="5"/>
      <c r="TKI143" s="3"/>
      <c r="TKK143" s="3"/>
      <c r="TKM143" s="4"/>
      <c r="TKN143" s="5"/>
      <c r="TKU143" s="3"/>
      <c r="TKW143" s="3"/>
      <c r="TKY143" s="4"/>
      <c r="TKZ143" s="5"/>
      <c r="TLG143" s="3"/>
      <c r="TLI143" s="3"/>
      <c r="TLK143" s="4"/>
      <c r="TLL143" s="5"/>
      <c r="TLS143" s="3"/>
      <c r="TLU143" s="3"/>
      <c r="TLW143" s="4"/>
      <c r="TLX143" s="5"/>
      <c r="TME143" s="3"/>
      <c r="TMG143" s="3"/>
      <c r="TMI143" s="4"/>
      <c r="TMJ143" s="5"/>
      <c r="TMQ143" s="3"/>
      <c r="TMS143" s="3"/>
      <c r="TMU143" s="4"/>
      <c r="TMV143" s="5"/>
      <c r="TNC143" s="3"/>
      <c r="TNE143" s="3"/>
      <c r="TNG143" s="4"/>
      <c r="TNH143" s="5"/>
      <c r="TNO143" s="3"/>
      <c r="TNQ143" s="3"/>
      <c r="TNS143" s="4"/>
      <c r="TNT143" s="5"/>
      <c r="TOA143" s="3"/>
      <c r="TOC143" s="3"/>
      <c r="TOE143" s="4"/>
      <c r="TOF143" s="5"/>
      <c r="TOM143" s="3"/>
      <c r="TOO143" s="3"/>
      <c r="TOQ143" s="4"/>
      <c r="TOR143" s="5"/>
      <c r="TOY143" s="3"/>
      <c r="TPA143" s="3"/>
      <c r="TPC143" s="4"/>
      <c r="TPD143" s="5"/>
      <c r="TPK143" s="3"/>
      <c r="TPM143" s="3"/>
      <c r="TPO143" s="4"/>
      <c r="TPP143" s="5"/>
      <c r="TPW143" s="3"/>
      <c r="TPY143" s="3"/>
      <c r="TQA143" s="4"/>
      <c r="TQB143" s="5"/>
      <c r="TQI143" s="3"/>
      <c r="TQK143" s="3"/>
      <c r="TQM143" s="4"/>
      <c r="TQN143" s="5"/>
      <c r="TQU143" s="3"/>
      <c r="TQW143" s="3"/>
      <c r="TQY143" s="4"/>
      <c r="TQZ143" s="5"/>
      <c r="TRG143" s="3"/>
      <c r="TRI143" s="3"/>
      <c r="TRK143" s="4"/>
      <c r="TRL143" s="5"/>
      <c r="TRS143" s="3"/>
      <c r="TRU143" s="3"/>
      <c r="TRW143" s="4"/>
      <c r="TRX143" s="5"/>
      <c r="TSE143" s="3"/>
      <c r="TSG143" s="3"/>
      <c r="TSI143" s="4"/>
      <c r="TSJ143" s="5"/>
      <c r="TSQ143" s="3"/>
      <c r="TSS143" s="3"/>
      <c r="TSU143" s="4"/>
      <c r="TSV143" s="5"/>
      <c r="TTC143" s="3"/>
      <c r="TTE143" s="3"/>
      <c r="TTG143" s="4"/>
      <c r="TTH143" s="5"/>
      <c r="TTO143" s="3"/>
      <c r="TTQ143" s="3"/>
      <c r="TTS143" s="4"/>
      <c r="TTT143" s="5"/>
      <c r="TUA143" s="3"/>
      <c r="TUC143" s="3"/>
      <c r="TUE143" s="4"/>
      <c r="TUF143" s="5"/>
      <c r="TUM143" s="3"/>
      <c r="TUO143" s="3"/>
      <c r="TUQ143" s="4"/>
      <c r="TUR143" s="5"/>
      <c r="TUY143" s="3"/>
      <c r="TVA143" s="3"/>
      <c r="TVC143" s="4"/>
      <c r="TVD143" s="5"/>
      <c r="TVK143" s="3"/>
      <c r="TVM143" s="3"/>
      <c r="TVO143" s="4"/>
      <c r="TVP143" s="5"/>
      <c r="TVW143" s="3"/>
      <c r="TVY143" s="3"/>
      <c r="TWA143" s="4"/>
      <c r="TWB143" s="5"/>
      <c r="TWI143" s="3"/>
      <c r="TWK143" s="3"/>
      <c r="TWM143" s="4"/>
      <c r="TWN143" s="5"/>
      <c r="TWU143" s="3"/>
      <c r="TWW143" s="3"/>
      <c r="TWY143" s="4"/>
      <c r="TWZ143" s="5"/>
      <c r="TXG143" s="3"/>
      <c r="TXI143" s="3"/>
      <c r="TXK143" s="4"/>
      <c r="TXL143" s="5"/>
      <c r="TXS143" s="3"/>
      <c r="TXU143" s="3"/>
      <c r="TXW143" s="4"/>
      <c r="TXX143" s="5"/>
      <c r="TYE143" s="3"/>
      <c r="TYG143" s="3"/>
      <c r="TYI143" s="4"/>
      <c r="TYJ143" s="5"/>
      <c r="TYQ143" s="3"/>
      <c r="TYS143" s="3"/>
      <c r="TYU143" s="4"/>
      <c r="TYV143" s="5"/>
      <c r="TZC143" s="3"/>
      <c r="TZE143" s="3"/>
      <c r="TZG143" s="4"/>
      <c r="TZH143" s="5"/>
      <c r="TZO143" s="3"/>
      <c r="TZQ143" s="3"/>
      <c r="TZS143" s="4"/>
      <c r="TZT143" s="5"/>
      <c r="UAA143" s="3"/>
      <c r="UAC143" s="3"/>
      <c r="UAE143" s="4"/>
      <c r="UAF143" s="5"/>
      <c r="UAM143" s="3"/>
      <c r="UAO143" s="3"/>
      <c r="UAQ143" s="4"/>
      <c r="UAR143" s="5"/>
      <c r="UAY143" s="3"/>
      <c r="UBA143" s="3"/>
      <c r="UBC143" s="4"/>
      <c r="UBD143" s="5"/>
      <c r="UBK143" s="3"/>
      <c r="UBM143" s="3"/>
      <c r="UBO143" s="4"/>
      <c r="UBP143" s="5"/>
      <c r="UBW143" s="3"/>
      <c r="UBY143" s="3"/>
      <c r="UCA143" s="4"/>
      <c r="UCB143" s="5"/>
      <c r="UCI143" s="3"/>
      <c r="UCK143" s="3"/>
      <c r="UCM143" s="4"/>
      <c r="UCN143" s="5"/>
      <c r="UCU143" s="3"/>
      <c r="UCW143" s="3"/>
      <c r="UCY143" s="4"/>
      <c r="UCZ143" s="5"/>
      <c r="UDG143" s="3"/>
      <c r="UDI143" s="3"/>
      <c r="UDK143" s="4"/>
      <c r="UDL143" s="5"/>
      <c r="UDS143" s="3"/>
      <c r="UDU143" s="3"/>
      <c r="UDW143" s="4"/>
      <c r="UDX143" s="5"/>
      <c r="UEE143" s="3"/>
      <c r="UEG143" s="3"/>
      <c r="UEI143" s="4"/>
      <c r="UEJ143" s="5"/>
      <c r="UEQ143" s="3"/>
      <c r="UES143" s="3"/>
      <c r="UEU143" s="4"/>
      <c r="UEV143" s="5"/>
      <c r="UFC143" s="3"/>
      <c r="UFE143" s="3"/>
      <c r="UFG143" s="4"/>
      <c r="UFH143" s="5"/>
      <c r="UFO143" s="3"/>
      <c r="UFQ143" s="3"/>
      <c r="UFS143" s="4"/>
      <c r="UFT143" s="5"/>
      <c r="UGA143" s="3"/>
      <c r="UGC143" s="3"/>
      <c r="UGE143" s="4"/>
      <c r="UGF143" s="5"/>
      <c r="UGM143" s="3"/>
      <c r="UGO143" s="3"/>
      <c r="UGQ143" s="4"/>
      <c r="UGR143" s="5"/>
      <c r="UGY143" s="3"/>
      <c r="UHA143" s="3"/>
      <c r="UHC143" s="4"/>
      <c r="UHD143" s="5"/>
      <c r="UHK143" s="3"/>
      <c r="UHM143" s="3"/>
      <c r="UHO143" s="4"/>
      <c r="UHP143" s="5"/>
      <c r="UHW143" s="3"/>
      <c r="UHY143" s="3"/>
      <c r="UIA143" s="4"/>
      <c r="UIB143" s="5"/>
      <c r="UII143" s="3"/>
      <c r="UIK143" s="3"/>
      <c r="UIM143" s="4"/>
      <c r="UIN143" s="5"/>
      <c r="UIU143" s="3"/>
      <c r="UIW143" s="3"/>
      <c r="UIY143" s="4"/>
      <c r="UIZ143" s="5"/>
      <c r="UJG143" s="3"/>
      <c r="UJI143" s="3"/>
      <c r="UJK143" s="4"/>
      <c r="UJL143" s="5"/>
      <c r="UJS143" s="3"/>
      <c r="UJU143" s="3"/>
      <c r="UJW143" s="4"/>
      <c r="UJX143" s="5"/>
      <c r="UKE143" s="3"/>
      <c r="UKG143" s="3"/>
      <c r="UKI143" s="4"/>
      <c r="UKJ143" s="5"/>
      <c r="UKQ143" s="3"/>
      <c r="UKS143" s="3"/>
      <c r="UKU143" s="4"/>
      <c r="UKV143" s="5"/>
      <c r="ULC143" s="3"/>
      <c r="ULE143" s="3"/>
      <c r="ULG143" s="4"/>
      <c r="ULH143" s="5"/>
      <c r="ULO143" s="3"/>
      <c r="ULQ143" s="3"/>
      <c r="ULS143" s="4"/>
      <c r="ULT143" s="5"/>
      <c r="UMA143" s="3"/>
      <c r="UMC143" s="3"/>
      <c r="UME143" s="4"/>
      <c r="UMF143" s="5"/>
      <c r="UMM143" s="3"/>
      <c r="UMO143" s="3"/>
      <c r="UMQ143" s="4"/>
      <c r="UMR143" s="5"/>
      <c r="UMY143" s="3"/>
      <c r="UNA143" s="3"/>
      <c r="UNC143" s="4"/>
      <c r="UND143" s="5"/>
      <c r="UNK143" s="3"/>
      <c r="UNM143" s="3"/>
      <c r="UNO143" s="4"/>
      <c r="UNP143" s="5"/>
      <c r="UNW143" s="3"/>
      <c r="UNY143" s="3"/>
      <c r="UOA143" s="4"/>
      <c r="UOB143" s="5"/>
      <c r="UOI143" s="3"/>
      <c r="UOK143" s="3"/>
      <c r="UOM143" s="4"/>
      <c r="UON143" s="5"/>
      <c r="UOU143" s="3"/>
      <c r="UOW143" s="3"/>
      <c r="UOY143" s="4"/>
      <c r="UOZ143" s="5"/>
      <c r="UPG143" s="3"/>
      <c r="UPI143" s="3"/>
      <c r="UPK143" s="4"/>
      <c r="UPL143" s="5"/>
      <c r="UPS143" s="3"/>
      <c r="UPU143" s="3"/>
      <c r="UPW143" s="4"/>
      <c r="UPX143" s="5"/>
      <c r="UQE143" s="3"/>
      <c r="UQG143" s="3"/>
      <c r="UQI143" s="4"/>
      <c r="UQJ143" s="5"/>
      <c r="UQQ143" s="3"/>
      <c r="UQS143" s="3"/>
      <c r="UQU143" s="4"/>
      <c r="UQV143" s="5"/>
      <c r="URC143" s="3"/>
      <c r="URE143" s="3"/>
      <c r="URG143" s="4"/>
      <c r="URH143" s="5"/>
      <c r="URO143" s="3"/>
      <c r="URQ143" s="3"/>
      <c r="URS143" s="4"/>
      <c r="URT143" s="5"/>
      <c r="USA143" s="3"/>
      <c r="USC143" s="3"/>
      <c r="USE143" s="4"/>
      <c r="USF143" s="5"/>
      <c r="USM143" s="3"/>
      <c r="USO143" s="3"/>
      <c r="USQ143" s="4"/>
      <c r="USR143" s="5"/>
      <c r="USY143" s="3"/>
      <c r="UTA143" s="3"/>
      <c r="UTC143" s="4"/>
      <c r="UTD143" s="5"/>
      <c r="UTK143" s="3"/>
      <c r="UTM143" s="3"/>
      <c r="UTO143" s="4"/>
      <c r="UTP143" s="5"/>
      <c r="UTW143" s="3"/>
      <c r="UTY143" s="3"/>
      <c r="UUA143" s="4"/>
      <c r="UUB143" s="5"/>
      <c r="UUI143" s="3"/>
      <c r="UUK143" s="3"/>
      <c r="UUM143" s="4"/>
      <c r="UUN143" s="5"/>
      <c r="UUU143" s="3"/>
      <c r="UUW143" s="3"/>
      <c r="UUY143" s="4"/>
      <c r="UUZ143" s="5"/>
      <c r="UVG143" s="3"/>
      <c r="UVI143" s="3"/>
      <c r="UVK143" s="4"/>
      <c r="UVL143" s="5"/>
      <c r="UVS143" s="3"/>
      <c r="UVU143" s="3"/>
      <c r="UVW143" s="4"/>
      <c r="UVX143" s="5"/>
      <c r="UWE143" s="3"/>
      <c r="UWG143" s="3"/>
      <c r="UWI143" s="4"/>
      <c r="UWJ143" s="5"/>
      <c r="UWQ143" s="3"/>
      <c r="UWS143" s="3"/>
      <c r="UWU143" s="4"/>
      <c r="UWV143" s="5"/>
      <c r="UXC143" s="3"/>
      <c r="UXE143" s="3"/>
      <c r="UXG143" s="4"/>
      <c r="UXH143" s="5"/>
      <c r="UXO143" s="3"/>
      <c r="UXQ143" s="3"/>
      <c r="UXS143" s="4"/>
      <c r="UXT143" s="5"/>
      <c r="UYA143" s="3"/>
      <c r="UYC143" s="3"/>
      <c r="UYE143" s="4"/>
      <c r="UYF143" s="5"/>
      <c r="UYM143" s="3"/>
      <c r="UYO143" s="3"/>
      <c r="UYQ143" s="4"/>
      <c r="UYR143" s="5"/>
      <c r="UYY143" s="3"/>
      <c r="UZA143" s="3"/>
      <c r="UZC143" s="4"/>
      <c r="UZD143" s="5"/>
      <c r="UZK143" s="3"/>
      <c r="UZM143" s="3"/>
      <c r="UZO143" s="4"/>
      <c r="UZP143" s="5"/>
      <c r="UZW143" s="3"/>
      <c r="UZY143" s="3"/>
      <c r="VAA143" s="4"/>
      <c r="VAB143" s="5"/>
      <c r="VAI143" s="3"/>
      <c r="VAK143" s="3"/>
      <c r="VAM143" s="4"/>
      <c r="VAN143" s="5"/>
      <c r="VAU143" s="3"/>
      <c r="VAW143" s="3"/>
      <c r="VAY143" s="4"/>
      <c r="VAZ143" s="5"/>
      <c r="VBG143" s="3"/>
      <c r="VBI143" s="3"/>
      <c r="VBK143" s="4"/>
      <c r="VBL143" s="5"/>
      <c r="VBS143" s="3"/>
      <c r="VBU143" s="3"/>
      <c r="VBW143" s="4"/>
      <c r="VBX143" s="5"/>
      <c r="VCE143" s="3"/>
      <c r="VCG143" s="3"/>
      <c r="VCI143" s="4"/>
      <c r="VCJ143" s="5"/>
      <c r="VCQ143" s="3"/>
      <c r="VCS143" s="3"/>
      <c r="VCU143" s="4"/>
      <c r="VCV143" s="5"/>
      <c r="VDC143" s="3"/>
      <c r="VDE143" s="3"/>
      <c r="VDG143" s="4"/>
      <c r="VDH143" s="5"/>
      <c r="VDO143" s="3"/>
      <c r="VDQ143" s="3"/>
      <c r="VDS143" s="4"/>
      <c r="VDT143" s="5"/>
      <c r="VEA143" s="3"/>
      <c r="VEC143" s="3"/>
      <c r="VEE143" s="4"/>
      <c r="VEF143" s="5"/>
      <c r="VEM143" s="3"/>
      <c r="VEO143" s="3"/>
      <c r="VEQ143" s="4"/>
      <c r="VER143" s="5"/>
      <c r="VEY143" s="3"/>
      <c r="VFA143" s="3"/>
      <c r="VFC143" s="4"/>
      <c r="VFD143" s="5"/>
      <c r="VFK143" s="3"/>
      <c r="VFM143" s="3"/>
      <c r="VFO143" s="4"/>
      <c r="VFP143" s="5"/>
      <c r="VFW143" s="3"/>
      <c r="VFY143" s="3"/>
      <c r="VGA143" s="4"/>
      <c r="VGB143" s="5"/>
      <c r="VGI143" s="3"/>
      <c r="VGK143" s="3"/>
      <c r="VGM143" s="4"/>
      <c r="VGN143" s="5"/>
      <c r="VGU143" s="3"/>
      <c r="VGW143" s="3"/>
      <c r="VGY143" s="4"/>
      <c r="VGZ143" s="5"/>
      <c r="VHG143" s="3"/>
      <c r="VHI143" s="3"/>
      <c r="VHK143" s="4"/>
      <c r="VHL143" s="5"/>
      <c r="VHS143" s="3"/>
      <c r="VHU143" s="3"/>
      <c r="VHW143" s="4"/>
      <c r="VHX143" s="5"/>
      <c r="VIE143" s="3"/>
      <c r="VIG143" s="3"/>
      <c r="VII143" s="4"/>
      <c r="VIJ143" s="5"/>
      <c r="VIQ143" s="3"/>
      <c r="VIS143" s="3"/>
      <c r="VIU143" s="4"/>
      <c r="VIV143" s="5"/>
      <c r="VJC143" s="3"/>
      <c r="VJE143" s="3"/>
      <c r="VJG143" s="4"/>
      <c r="VJH143" s="5"/>
      <c r="VJO143" s="3"/>
      <c r="VJQ143" s="3"/>
      <c r="VJS143" s="4"/>
      <c r="VJT143" s="5"/>
      <c r="VKA143" s="3"/>
      <c r="VKC143" s="3"/>
      <c r="VKE143" s="4"/>
      <c r="VKF143" s="5"/>
      <c r="VKM143" s="3"/>
      <c r="VKO143" s="3"/>
      <c r="VKQ143" s="4"/>
      <c r="VKR143" s="5"/>
      <c r="VKY143" s="3"/>
      <c r="VLA143" s="3"/>
      <c r="VLC143" s="4"/>
      <c r="VLD143" s="5"/>
      <c r="VLK143" s="3"/>
      <c r="VLM143" s="3"/>
      <c r="VLO143" s="4"/>
      <c r="VLP143" s="5"/>
      <c r="VLW143" s="3"/>
      <c r="VLY143" s="3"/>
      <c r="VMA143" s="4"/>
      <c r="VMB143" s="5"/>
      <c r="VMI143" s="3"/>
      <c r="VMK143" s="3"/>
      <c r="VMM143" s="4"/>
      <c r="VMN143" s="5"/>
      <c r="VMU143" s="3"/>
      <c r="VMW143" s="3"/>
      <c r="VMY143" s="4"/>
      <c r="VMZ143" s="5"/>
      <c r="VNG143" s="3"/>
      <c r="VNI143" s="3"/>
      <c r="VNK143" s="4"/>
      <c r="VNL143" s="5"/>
      <c r="VNS143" s="3"/>
      <c r="VNU143" s="3"/>
      <c r="VNW143" s="4"/>
      <c r="VNX143" s="5"/>
      <c r="VOE143" s="3"/>
      <c r="VOG143" s="3"/>
      <c r="VOI143" s="4"/>
      <c r="VOJ143" s="5"/>
      <c r="VOQ143" s="3"/>
      <c r="VOS143" s="3"/>
      <c r="VOU143" s="4"/>
      <c r="VOV143" s="5"/>
      <c r="VPC143" s="3"/>
      <c r="VPE143" s="3"/>
      <c r="VPG143" s="4"/>
      <c r="VPH143" s="5"/>
      <c r="VPO143" s="3"/>
      <c r="VPQ143" s="3"/>
      <c r="VPS143" s="4"/>
      <c r="VPT143" s="5"/>
      <c r="VQA143" s="3"/>
      <c r="VQC143" s="3"/>
      <c r="VQE143" s="4"/>
      <c r="VQF143" s="5"/>
      <c r="VQM143" s="3"/>
      <c r="VQO143" s="3"/>
      <c r="VQQ143" s="4"/>
      <c r="VQR143" s="5"/>
      <c r="VQY143" s="3"/>
      <c r="VRA143" s="3"/>
      <c r="VRC143" s="4"/>
      <c r="VRD143" s="5"/>
      <c r="VRK143" s="3"/>
      <c r="VRM143" s="3"/>
      <c r="VRO143" s="4"/>
      <c r="VRP143" s="5"/>
      <c r="VRW143" s="3"/>
      <c r="VRY143" s="3"/>
      <c r="VSA143" s="4"/>
      <c r="VSB143" s="5"/>
      <c r="VSI143" s="3"/>
      <c r="VSK143" s="3"/>
      <c r="VSM143" s="4"/>
      <c r="VSN143" s="5"/>
      <c r="VSU143" s="3"/>
      <c r="VSW143" s="3"/>
      <c r="VSY143" s="4"/>
      <c r="VSZ143" s="5"/>
      <c r="VTG143" s="3"/>
      <c r="VTI143" s="3"/>
      <c r="VTK143" s="4"/>
      <c r="VTL143" s="5"/>
      <c r="VTS143" s="3"/>
      <c r="VTU143" s="3"/>
      <c r="VTW143" s="4"/>
      <c r="VTX143" s="5"/>
      <c r="VUE143" s="3"/>
      <c r="VUG143" s="3"/>
      <c r="VUI143" s="4"/>
      <c r="VUJ143" s="5"/>
      <c r="VUQ143" s="3"/>
      <c r="VUS143" s="3"/>
      <c r="VUU143" s="4"/>
      <c r="VUV143" s="5"/>
      <c r="VVC143" s="3"/>
      <c r="VVE143" s="3"/>
      <c r="VVG143" s="4"/>
      <c r="VVH143" s="5"/>
      <c r="VVO143" s="3"/>
      <c r="VVQ143" s="3"/>
      <c r="VVS143" s="4"/>
      <c r="VVT143" s="5"/>
      <c r="VWA143" s="3"/>
      <c r="VWC143" s="3"/>
      <c r="VWE143" s="4"/>
      <c r="VWF143" s="5"/>
      <c r="VWM143" s="3"/>
      <c r="VWO143" s="3"/>
      <c r="VWQ143" s="4"/>
      <c r="VWR143" s="5"/>
      <c r="VWY143" s="3"/>
      <c r="VXA143" s="3"/>
      <c r="VXC143" s="4"/>
      <c r="VXD143" s="5"/>
      <c r="VXK143" s="3"/>
      <c r="VXM143" s="3"/>
      <c r="VXO143" s="4"/>
      <c r="VXP143" s="5"/>
      <c r="VXW143" s="3"/>
      <c r="VXY143" s="3"/>
      <c r="VYA143" s="4"/>
      <c r="VYB143" s="5"/>
      <c r="VYI143" s="3"/>
      <c r="VYK143" s="3"/>
      <c r="VYM143" s="4"/>
      <c r="VYN143" s="5"/>
      <c r="VYU143" s="3"/>
      <c r="VYW143" s="3"/>
      <c r="VYY143" s="4"/>
      <c r="VYZ143" s="5"/>
      <c r="VZG143" s="3"/>
      <c r="VZI143" s="3"/>
      <c r="VZK143" s="4"/>
      <c r="VZL143" s="5"/>
      <c r="VZS143" s="3"/>
      <c r="VZU143" s="3"/>
      <c r="VZW143" s="4"/>
      <c r="VZX143" s="5"/>
      <c r="WAE143" s="3"/>
      <c r="WAG143" s="3"/>
      <c r="WAI143" s="4"/>
      <c r="WAJ143" s="5"/>
      <c r="WAQ143" s="3"/>
      <c r="WAS143" s="3"/>
      <c r="WAU143" s="4"/>
      <c r="WAV143" s="5"/>
      <c r="WBC143" s="3"/>
      <c r="WBE143" s="3"/>
      <c r="WBG143" s="4"/>
      <c r="WBH143" s="5"/>
      <c r="WBO143" s="3"/>
      <c r="WBQ143" s="3"/>
      <c r="WBS143" s="4"/>
      <c r="WBT143" s="5"/>
      <c r="WCA143" s="3"/>
      <c r="WCC143" s="3"/>
      <c r="WCE143" s="4"/>
      <c r="WCF143" s="5"/>
      <c r="WCM143" s="3"/>
      <c r="WCO143" s="3"/>
      <c r="WCQ143" s="4"/>
      <c r="WCR143" s="5"/>
      <c r="WCY143" s="3"/>
      <c r="WDA143" s="3"/>
      <c r="WDC143" s="4"/>
      <c r="WDD143" s="5"/>
      <c r="WDK143" s="3"/>
      <c r="WDM143" s="3"/>
      <c r="WDO143" s="4"/>
      <c r="WDP143" s="5"/>
      <c r="WDW143" s="3"/>
      <c r="WDY143" s="3"/>
      <c r="WEA143" s="4"/>
      <c r="WEB143" s="5"/>
      <c r="WEI143" s="3"/>
      <c r="WEK143" s="3"/>
      <c r="WEM143" s="4"/>
      <c r="WEN143" s="5"/>
      <c r="WEU143" s="3"/>
      <c r="WEW143" s="3"/>
      <c r="WEY143" s="4"/>
      <c r="WEZ143" s="5"/>
      <c r="WFG143" s="3"/>
      <c r="WFI143" s="3"/>
      <c r="WFK143" s="4"/>
      <c r="WFL143" s="5"/>
      <c r="WFS143" s="3"/>
      <c r="WFU143" s="3"/>
      <c r="WFW143" s="4"/>
      <c r="WFX143" s="5"/>
      <c r="WGE143" s="3"/>
      <c r="WGG143" s="3"/>
      <c r="WGI143" s="4"/>
      <c r="WGJ143" s="5"/>
      <c r="WGQ143" s="3"/>
      <c r="WGS143" s="3"/>
      <c r="WGU143" s="4"/>
      <c r="WGV143" s="5"/>
      <c r="WHC143" s="3"/>
      <c r="WHE143" s="3"/>
      <c r="WHG143" s="4"/>
      <c r="WHH143" s="5"/>
      <c r="WHO143" s="3"/>
      <c r="WHQ143" s="3"/>
      <c r="WHS143" s="4"/>
      <c r="WHT143" s="5"/>
      <c r="WIA143" s="3"/>
      <c r="WIC143" s="3"/>
      <c r="WIE143" s="4"/>
      <c r="WIF143" s="5"/>
      <c r="WIM143" s="3"/>
      <c r="WIO143" s="3"/>
      <c r="WIQ143" s="4"/>
      <c r="WIR143" s="5"/>
      <c r="WIY143" s="3"/>
      <c r="WJA143" s="3"/>
      <c r="WJC143" s="4"/>
      <c r="WJD143" s="5"/>
      <c r="WJK143" s="3"/>
      <c r="WJM143" s="3"/>
      <c r="WJO143" s="4"/>
      <c r="WJP143" s="5"/>
      <c r="WJW143" s="3"/>
      <c r="WJY143" s="3"/>
      <c r="WKA143" s="4"/>
      <c r="WKB143" s="5"/>
      <c r="WKI143" s="3"/>
      <c r="WKK143" s="3"/>
      <c r="WKM143" s="4"/>
      <c r="WKN143" s="5"/>
      <c r="WKU143" s="3"/>
      <c r="WKW143" s="3"/>
      <c r="WKY143" s="4"/>
      <c r="WKZ143" s="5"/>
      <c r="WLG143" s="3"/>
      <c r="WLI143" s="3"/>
      <c r="WLK143" s="4"/>
      <c r="WLL143" s="5"/>
      <c r="WLS143" s="3"/>
      <c r="WLU143" s="3"/>
      <c r="WLW143" s="4"/>
      <c r="WLX143" s="5"/>
      <c r="WME143" s="3"/>
      <c r="WMG143" s="3"/>
      <c r="WMI143" s="4"/>
      <c r="WMJ143" s="5"/>
      <c r="WMQ143" s="3"/>
      <c r="WMS143" s="3"/>
      <c r="WMU143" s="4"/>
      <c r="WMV143" s="5"/>
      <c r="WNC143" s="3"/>
      <c r="WNE143" s="3"/>
      <c r="WNG143" s="4"/>
      <c r="WNH143" s="5"/>
      <c r="WNO143" s="3"/>
      <c r="WNQ143" s="3"/>
      <c r="WNS143" s="4"/>
      <c r="WNT143" s="5"/>
      <c r="WOA143" s="3"/>
      <c r="WOC143" s="3"/>
      <c r="WOE143" s="4"/>
      <c r="WOF143" s="5"/>
      <c r="WOM143" s="3"/>
      <c r="WOO143" s="3"/>
      <c r="WOQ143" s="4"/>
      <c r="WOR143" s="5"/>
      <c r="WOY143" s="3"/>
      <c r="WPA143" s="3"/>
      <c r="WPC143" s="4"/>
      <c r="WPD143" s="5"/>
      <c r="WPK143" s="3"/>
      <c r="WPM143" s="3"/>
      <c r="WPO143" s="4"/>
      <c r="WPP143" s="5"/>
      <c r="WPW143" s="3"/>
      <c r="WPY143" s="3"/>
      <c r="WQA143" s="4"/>
      <c r="WQB143" s="5"/>
      <c r="WQI143" s="3"/>
      <c r="WQK143" s="3"/>
      <c r="WQM143" s="4"/>
      <c r="WQN143" s="5"/>
      <c r="WQU143" s="3"/>
      <c r="WQW143" s="3"/>
      <c r="WQY143" s="4"/>
      <c r="WQZ143" s="5"/>
      <c r="WRG143" s="3"/>
      <c r="WRI143" s="3"/>
      <c r="WRK143" s="4"/>
      <c r="WRL143" s="5"/>
      <c r="WRS143" s="3"/>
      <c r="WRU143" s="3"/>
      <c r="WRW143" s="4"/>
      <c r="WRX143" s="5"/>
      <c r="WSE143" s="3"/>
      <c r="WSG143" s="3"/>
      <c r="WSI143" s="4"/>
      <c r="WSJ143" s="5"/>
      <c r="WSQ143" s="3"/>
      <c r="WSS143" s="3"/>
      <c r="WSU143" s="4"/>
      <c r="WSV143" s="5"/>
      <c r="WTC143" s="3"/>
      <c r="WTE143" s="3"/>
      <c r="WTG143" s="4"/>
      <c r="WTH143" s="5"/>
      <c r="WTO143" s="3"/>
      <c r="WTQ143" s="3"/>
      <c r="WTS143" s="4"/>
      <c r="WTT143" s="5"/>
      <c r="WUA143" s="3"/>
      <c r="WUC143" s="3"/>
      <c r="WUE143" s="4"/>
      <c r="WUF143" s="5"/>
      <c r="WUM143" s="3"/>
      <c r="WUO143" s="3"/>
      <c r="WUQ143" s="4"/>
      <c r="WUR143" s="5"/>
      <c r="WUY143" s="3"/>
      <c r="WVA143" s="3"/>
      <c r="WVC143" s="4"/>
      <c r="WVD143" s="5"/>
      <c r="WVK143" s="3"/>
      <c r="WVM143" s="3"/>
      <c r="WVO143" s="4"/>
      <c r="WVP143" s="5"/>
      <c r="WVW143" s="3"/>
      <c r="WVY143" s="3"/>
      <c r="WWA143" s="4"/>
      <c r="WWB143" s="5"/>
      <c r="WWI143" s="3"/>
      <c r="WWK143" s="3"/>
      <c r="WWM143" s="4"/>
      <c r="WWN143" s="5"/>
      <c r="WWU143" s="3"/>
      <c r="WWW143" s="3"/>
      <c r="WWY143" s="4"/>
      <c r="WWZ143" s="5"/>
      <c r="WXG143" s="3"/>
      <c r="WXI143" s="3"/>
      <c r="WXK143" s="4"/>
      <c r="WXL143" s="5"/>
      <c r="WXS143" s="3"/>
      <c r="WXU143" s="3"/>
      <c r="WXW143" s="4"/>
      <c r="WXX143" s="5"/>
      <c r="WYE143" s="3"/>
      <c r="WYG143" s="3"/>
      <c r="WYI143" s="4"/>
      <c r="WYJ143" s="5"/>
      <c r="WYQ143" s="3"/>
      <c r="WYS143" s="3"/>
      <c r="WYU143" s="4"/>
      <c r="WYV143" s="5"/>
      <c r="WZC143" s="3"/>
      <c r="WZE143" s="3"/>
      <c r="WZG143" s="4"/>
      <c r="WZH143" s="5"/>
      <c r="WZO143" s="3"/>
      <c r="WZQ143" s="3"/>
      <c r="WZS143" s="4"/>
      <c r="WZT143" s="5"/>
      <c r="XAA143" s="3"/>
      <c r="XAC143" s="3"/>
      <c r="XAE143" s="4"/>
      <c r="XAF143" s="5"/>
      <c r="XAM143" s="3"/>
      <c r="XAO143" s="3"/>
      <c r="XAQ143" s="4"/>
      <c r="XAR143" s="5"/>
      <c r="XAY143" s="3"/>
      <c r="XBA143" s="3"/>
      <c r="XBC143" s="4"/>
      <c r="XBD143" s="5"/>
      <c r="XBK143" s="3"/>
      <c r="XBM143" s="3"/>
      <c r="XBO143" s="4"/>
      <c r="XBP143" s="5"/>
      <c r="XBW143" s="3"/>
      <c r="XBY143" s="3"/>
      <c r="XCA143" s="4"/>
      <c r="XCB143" s="5"/>
      <c r="XCI143" s="3"/>
      <c r="XCK143" s="3"/>
      <c r="XCM143" s="4"/>
      <c r="XCN143" s="5"/>
      <c r="XCU143" s="3"/>
      <c r="XCW143" s="3"/>
      <c r="XCY143" s="4"/>
      <c r="XCZ143" s="5"/>
      <c r="XDG143" s="3"/>
      <c r="XDI143" s="3"/>
      <c r="XDK143" s="4"/>
      <c r="XDL143" s="5"/>
      <c r="XDS143" s="3"/>
      <c r="XDU143" s="3"/>
      <c r="XDW143" s="4"/>
      <c r="XDX143" s="5"/>
      <c r="XEE143" s="3"/>
      <c r="XEG143" s="3"/>
      <c r="XEI143" s="4"/>
      <c r="XEJ143" s="5"/>
      <c r="XEQ143" s="3"/>
      <c r="XES143" s="3"/>
      <c r="XEU143" s="4"/>
      <c r="XEV143" s="5"/>
      <c r="XFC143" s="3"/>
    </row>
    <row r="144" spans="1:1023 1025:2048 2055:3068 3075:4095 4097:5120 5127:6140 6147:7167 7169:8192 8199:9212 9219:10239 10241:11264 11271:12284 12291:13311 13313:14336 14343:15356 15363:16383" x14ac:dyDescent="0.25">
      <c r="A144" t="s">
        <v>153</v>
      </c>
      <c r="B144">
        <v>1</v>
      </c>
      <c r="C144" s="8">
        <v>45309</v>
      </c>
      <c r="D144">
        <v>24.49</v>
      </c>
      <c r="E144" s="8">
        <v>45379</v>
      </c>
      <c r="F144">
        <v>24.86</v>
      </c>
      <c r="G144" s="7">
        <v>1.5100000000000001E-2</v>
      </c>
      <c r="H144" s="5">
        <f t="shared" si="4"/>
        <v>9.6111005028324113E-5</v>
      </c>
      <c r="I144">
        <f t="shared" si="6"/>
        <v>70</v>
      </c>
      <c r="K144" t="s">
        <v>12</v>
      </c>
      <c r="L144">
        <v>0</v>
      </c>
    </row>
    <row r="145" spans="1:12" x14ac:dyDescent="0.25">
      <c r="A145" t="s">
        <v>154</v>
      </c>
      <c r="B145">
        <v>0.03</v>
      </c>
      <c r="C145" s="8">
        <v>45127</v>
      </c>
      <c r="D145">
        <v>39.630000000000003</v>
      </c>
      <c r="E145" s="8">
        <v>45379</v>
      </c>
      <c r="F145">
        <v>38.799999999999997</v>
      </c>
      <c r="G145" s="7">
        <v>-2.0899999999999998E-2</v>
      </c>
      <c r="H145" s="5">
        <f t="shared" si="4"/>
        <v>-3.9908344472025968E-6</v>
      </c>
      <c r="I145">
        <f t="shared" si="6"/>
        <v>252</v>
      </c>
      <c r="L145">
        <v>0</v>
      </c>
    </row>
    <row r="146" spans="1:12" x14ac:dyDescent="0.25">
      <c r="A146" t="s">
        <v>155</v>
      </c>
      <c r="B146">
        <v>2</v>
      </c>
      <c r="C146" s="8">
        <v>45092</v>
      </c>
      <c r="D146">
        <v>65.11</v>
      </c>
      <c r="E146" s="8">
        <v>45379</v>
      </c>
      <c r="F146">
        <v>59.59</v>
      </c>
      <c r="G146" s="7">
        <v>-8.48E-2</v>
      </c>
      <c r="H146" s="5">
        <f t="shared" si="4"/>
        <v>-1.0794984405830311E-3</v>
      </c>
      <c r="I146">
        <f t="shared" si="6"/>
        <v>287</v>
      </c>
      <c r="K146" t="s">
        <v>16</v>
      </c>
      <c r="L146">
        <v>0</v>
      </c>
    </row>
    <row r="147" spans="1:12" x14ac:dyDescent="0.25">
      <c r="A147" t="s">
        <v>156</v>
      </c>
      <c r="B147">
        <v>1</v>
      </c>
      <c r="C147" s="8">
        <v>45141</v>
      </c>
      <c r="D147">
        <v>21.25</v>
      </c>
      <c r="E147" s="8">
        <v>45379</v>
      </c>
      <c r="F147">
        <v>19.78</v>
      </c>
      <c r="G147" s="7">
        <v>-6.9199999999999998E-2</v>
      </c>
      <c r="H147" s="5">
        <f t="shared" si="4"/>
        <v>-4.4045573165298204E-4</v>
      </c>
      <c r="I147">
        <f t="shared" si="6"/>
        <v>238</v>
      </c>
      <c r="K147" t="s">
        <v>16</v>
      </c>
      <c r="L147">
        <v>0</v>
      </c>
    </row>
    <row r="148" spans="1:12" x14ac:dyDescent="0.25">
      <c r="A148" t="s">
        <v>157</v>
      </c>
      <c r="B148">
        <v>1</v>
      </c>
      <c r="C148" s="8">
        <v>45162</v>
      </c>
      <c r="D148">
        <v>67.89</v>
      </c>
      <c r="E148" s="8">
        <v>45379</v>
      </c>
      <c r="F148">
        <v>63.97</v>
      </c>
      <c r="G148" s="7">
        <v>-3.6400000000000002E-2</v>
      </c>
      <c r="H148" s="5">
        <f t="shared" si="4"/>
        <v>-2.3168480682324489E-4</v>
      </c>
      <c r="I148">
        <f t="shared" si="6"/>
        <v>217</v>
      </c>
      <c r="K148" t="s">
        <v>12</v>
      </c>
      <c r="L148">
        <v>1.45</v>
      </c>
    </row>
    <row r="149" spans="1:12" x14ac:dyDescent="0.25">
      <c r="A149" t="s">
        <v>158</v>
      </c>
      <c r="B149">
        <v>1</v>
      </c>
      <c r="C149" s="8">
        <v>45078</v>
      </c>
      <c r="D149">
        <v>179.98</v>
      </c>
      <c r="E149" s="8">
        <v>45379</v>
      </c>
      <c r="F149">
        <v>174.58</v>
      </c>
      <c r="G149" s="7">
        <v>-8.8999999999999999E-3</v>
      </c>
      <c r="H149" s="5">
        <f t="shared" si="4"/>
        <v>-5.6648208261727454E-5</v>
      </c>
      <c r="I149">
        <f t="shared" si="6"/>
        <v>301</v>
      </c>
      <c r="K149" t="s">
        <v>26</v>
      </c>
      <c r="L149">
        <v>3.8</v>
      </c>
    </row>
    <row r="150" spans="1:12" x14ac:dyDescent="0.25">
      <c r="A150" t="s">
        <v>159</v>
      </c>
      <c r="B150">
        <v>1</v>
      </c>
      <c r="C150" s="8">
        <v>44924</v>
      </c>
      <c r="D150">
        <v>11.21</v>
      </c>
      <c r="E150" s="8">
        <v>45379</v>
      </c>
      <c r="F150">
        <v>11.99</v>
      </c>
      <c r="G150" s="7">
        <v>0.15049999999999999</v>
      </c>
      <c r="H150" s="5">
        <f t="shared" si="4"/>
        <v>9.5792756667303165E-4</v>
      </c>
      <c r="I150">
        <f t="shared" si="6"/>
        <v>455</v>
      </c>
      <c r="K150" t="s">
        <v>12</v>
      </c>
      <c r="L150">
        <v>0.91</v>
      </c>
    </row>
  </sheetData>
  <autoFilter ref="A1:M150" xr:uid="{D7AF9592-257E-4030-85BA-CC36FBA006DA}">
    <sortState xmlns:xlrd2="http://schemas.microsoft.com/office/spreadsheetml/2017/richdata2" ref="A2:M142">
      <sortCondition ref="E1:E142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0A1B-ABA7-45B7-B8EC-7E65A12865D9}">
  <dimension ref="A1:M47"/>
  <sheetViews>
    <sheetView zoomScaleNormal="100" workbookViewId="0">
      <selection activeCell="H34" sqref="H34"/>
    </sheetView>
  </sheetViews>
  <sheetFormatPr defaultRowHeight="15" x14ac:dyDescent="0.25"/>
  <cols>
    <col min="3" max="3" width="13.140625" bestFit="1" customWidth="1"/>
    <col min="5" max="6" width="12.140625" bestFit="1" customWidth="1"/>
  </cols>
  <sheetData>
    <row r="1" spans="1:13" ht="24.75" x14ac:dyDescent="0.25">
      <c r="A1" s="1" t="s">
        <v>0</v>
      </c>
      <c r="B1" s="3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/>
      <c r="K1" s="1" t="s">
        <v>8</v>
      </c>
      <c r="L1" s="1" t="s">
        <v>9</v>
      </c>
      <c r="M1" s="1" t="s">
        <v>10</v>
      </c>
    </row>
    <row r="2" spans="1:13" x14ac:dyDescent="0.25">
      <c r="A2" s="2" t="s">
        <v>48</v>
      </c>
      <c r="B2" s="34">
        <v>1</v>
      </c>
      <c r="C2" s="3">
        <v>44890</v>
      </c>
      <c r="D2" s="2">
        <v>1.45</v>
      </c>
      <c r="E2" s="3">
        <v>44964</v>
      </c>
      <c r="F2" s="2"/>
      <c r="G2" s="4">
        <v>0.34827586206896566</v>
      </c>
      <c r="H2" s="5">
        <f t="shared" ref="H2:H47" si="0">G2*B2/SUM(B:B)</f>
        <v>7.180945609669395E-3</v>
      </c>
      <c r="I2" s="2">
        <v>74</v>
      </c>
      <c r="J2" s="2"/>
      <c r="K2" s="2"/>
      <c r="L2" s="2"/>
      <c r="M2" s="2"/>
    </row>
    <row r="3" spans="1:13" x14ac:dyDescent="0.25">
      <c r="A3" s="2" t="s">
        <v>40</v>
      </c>
      <c r="B3" s="34">
        <v>1</v>
      </c>
      <c r="C3" s="3">
        <v>44932</v>
      </c>
      <c r="D3" s="2">
        <v>4.53</v>
      </c>
      <c r="E3" s="3">
        <v>44966</v>
      </c>
      <c r="F3" s="2"/>
      <c r="G3" s="4">
        <v>0.38741721854304623</v>
      </c>
      <c r="H3" s="5">
        <f t="shared" si="0"/>
        <v>7.9879838874854885E-3</v>
      </c>
      <c r="I3" s="2">
        <v>34</v>
      </c>
      <c r="J3" s="2"/>
      <c r="K3" s="2"/>
      <c r="L3" s="2"/>
      <c r="M3" s="2"/>
    </row>
    <row r="4" spans="1:13" x14ac:dyDescent="0.25">
      <c r="A4" s="2" t="s">
        <v>88</v>
      </c>
      <c r="B4" s="34">
        <v>1</v>
      </c>
      <c r="C4" s="3">
        <v>44910</v>
      </c>
      <c r="D4" s="2">
        <v>92.47</v>
      </c>
      <c r="E4" s="3">
        <v>44980</v>
      </c>
      <c r="F4" s="2"/>
      <c r="G4" s="4">
        <v>0.18141018708770429</v>
      </c>
      <c r="H4" s="5">
        <f t="shared" si="0"/>
        <v>3.7404162286124596E-3</v>
      </c>
      <c r="I4" s="2">
        <v>70</v>
      </c>
      <c r="J4" s="2"/>
      <c r="K4" s="2"/>
      <c r="L4" s="2"/>
      <c r="M4" s="2"/>
    </row>
    <row r="5" spans="1:13" x14ac:dyDescent="0.25">
      <c r="A5" s="2" t="s">
        <v>89</v>
      </c>
      <c r="B5" s="34">
        <v>1</v>
      </c>
      <c r="C5" s="3">
        <v>44854</v>
      </c>
      <c r="D5" s="2">
        <v>87.81</v>
      </c>
      <c r="E5" s="3">
        <v>44994</v>
      </c>
      <c r="F5" s="2">
        <v>96.59</v>
      </c>
      <c r="G5" s="4">
        <v>0.113</v>
      </c>
      <c r="H5" s="5">
        <f t="shared" si="0"/>
        <v>2.3298969072164948E-3</v>
      </c>
      <c r="I5" s="2">
        <v>140</v>
      </c>
      <c r="J5" s="2"/>
      <c r="K5" s="2" t="s">
        <v>26</v>
      </c>
      <c r="L5" s="2">
        <v>1.1000000000000001</v>
      </c>
      <c r="M5" s="2"/>
    </row>
    <row r="6" spans="1:13" x14ac:dyDescent="0.25">
      <c r="A6" s="2" t="s">
        <v>90</v>
      </c>
      <c r="B6" s="34">
        <v>1</v>
      </c>
      <c r="C6" s="3">
        <v>44917</v>
      </c>
      <c r="D6" s="2">
        <v>33.6</v>
      </c>
      <c r="E6" s="3">
        <v>44995</v>
      </c>
      <c r="F6" s="2">
        <v>36.96</v>
      </c>
      <c r="G6" s="6">
        <v>0.1</v>
      </c>
      <c r="H6" s="5">
        <f t="shared" si="0"/>
        <v>2.0618556701030928E-3</v>
      </c>
      <c r="I6" s="2">
        <v>78</v>
      </c>
      <c r="J6" s="2"/>
      <c r="K6" s="2" t="s">
        <v>26</v>
      </c>
      <c r="L6" s="2">
        <v>0</v>
      </c>
      <c r="M6" s="2"/>
    </row>
    <row r="7" spans="1:13" x14ac:dyDescent="0.25">
      <c r="A7" s="2" t="s">
        <v>61</v>
      </c>
      <c r="B7" s="34">
        <v>1</v>
      </c>
      <c r="C7" s="3">
        <v>44812</v>
      </c>
      <c r="D7" s="2">
        <v>8.69</v>
      </c>
      <c r="E7" s="3">
        <v>44995</v>
      </c>
      <c r="F7" s="2">
        <v>5.21</v>
      </c>
      <c r="G7" s="4">
        <v>-0.38300000000000001</v>
      </c>
      <c r="H7" s="5">
        <f t="shared" si="0"/>
        <v>-7.8969072164948462E-3</v>
      </c>
      <c r="I7" s="2">
        <v>183</v>
      </c>
      <c r="J7" s="2"/>
      <c r="K7" s="2" t="s">
        <v>12</v>
      </c>
      <c r="L7" s="2">
        <v>0.15</v>
      </c>
      <c r="M7" s="2"/>
    </row>
    <row r="8" spans="1:13" x14ac:dyDescent="0.25">
      <c r="A8" s="2" t="s">
        <v>91</v>
      </c>
      <c r="B8" s="34">
        <v>1</v>
      </c>
      <c r="C8" s="3">
        <v>44896</v>
      </c>
      <c r="D8" s="2">
        <v>151.84</v>
      </c>
      <c r="E8" s="3">
        <v>44998</v>
      </c>
      <c r="F8" s="2">
        <v>165.99</v>
      </c>
      <c r="G8" s="4">
        <v>9.2999999999999999E-2</v>
      </c>
      <c r="H8" s="5">
        <f t="shared" si="0"/>
        <v>1.9175257731958763E-3</v>
      </c>
      <c r="I8" s="2">
        <v>102</v>
      </c>
      <c r="J8" s="2"/>
      <c r="K8" s="2" t="s">
        <v>26</v>
      </c>
      <c r="L8" s="2">
        <v>0</v>
      </c>
      <c r="M8" s="2"/>
    </row>
    <row r="9" spans="1:13" x14ac:dyDescent="0.25">
      <c r="A9" s="2" t="s">
        <v>92</v>
      </c>
      <c r="B9" s="34">
        <v>1</v>
      </c>
      <c r="C9" s="3">
        <v>45008</v>
      </c>
      <c r="D9" s="2">
        <v>56.15</v>
      </c>
      <c r="E9" s="3">
        <v>45021</v>
      </c>
      <c r="F9" s="2">
        <v>49</v>
      </c>
      <c r="G9" s="4">
        <v>-0.127</v>
      </c>
      <c r="H9" s="5">
        <f t="shared" si="0"/>
        <v>-2.6185567010309279E-3</v>
      </c>
      <c r="I9" s="2">
        <v>13</v>
      </c>
      <c r="J9" s="2"/>
      <c r="K9" s="2" t="s">
        <v>12</v>
      </c>
      <c r="L9" s="2">
        <v>0</v>
      </c>
      <c r="M9" s="2"/>
    </row>
    <row r="10" spans="1:13" x14ac:dyDescent="0.25">
      <c r="A10" s="2" t="s">
        <v>93</v>
      </c>
      <c r="B10" s="34">
        <v>1</v>
      </c>
      <c r="C10" s="3">
        <v>44973</v>
      </c>
      <c r="D10" s="2">
        <v>8.3000000000000007</v>
      </c>
      <c r="E10" s="3">
        <v>45048</v>
      </c>
      <c r="F10" s="2">
        <v>6.2</v>
      </c>
      <c r="G10" s="4">
        <v>-0.249</v>
      </c>
      <c r="H10" s="5">
        <f t="shared" si="0"/>
        <v>-5.1340206185567011E-3</v>
      </c>
      <c r="I10" s="2">
        <v>75</v>
      </c>
      <c r="J10" s="2"/>
      <c r="K10" s="2" t="s">
        <v>12</v>
      </c>
      <c r="L10" s="2">
        <v>0.04</v>
      </c>
      <c r="M10" s="2"/>
    </row>
    <row r="11" spans="1:13" x14ac:dyDescent="0.25">
      <c r="A11" s="24" t="s">
        <v>99</v>
      </c>
      <c r="B11" s="35">
        <v>1</v>
      </c>
      <c r="C11" s="25">
        <v>44868</v>
      </c>
      <c r="D11" s="24">
        <v>146.1</v>
      </c>
      <c r="E11" s="25">
        <v>45071</v>
      </c>
      <c r="F11" s="24">
        <v>155.41</v>
      </c>
      <c r="G11" s="26">
        <v>0.16320000000000001</v>
      </c>
      <c r="H11" s="5">
        <f t="shared" si="0"/>
        <v>3.3649484536082477E-3</v>
      </c>
      <c r="I11" s="24">
        <v>196</v>
      </c>
      <c r="J11" s="2"/>
      <c r="K11" s="2" t="s">
        <v>26</v>
      </c>
      <c r="L11" s="2"/>
      <c r="M11" s="2"/>
    </row>
    <row r="12" spans="1:13" x14ac:dyDescent="0.25">
      <c r="A12" s="2" t="s">
        <v>97</v>
      </c>
      <c r="B12" s="34">
        <v>1</v>
      </c>
      <c r="C12" s="3">
        <v>44994</v>
      </c>
      <c r="D12" s="2">
        <v>122.91</v>
      </c>
      <c r="E12" s="3">
        <v>45106</v>
      </c>
      <c r="F12" s="2">
        <v>92.18</v>
      </c>
      <c r="G12" s="4">
        <v>0.1053</v>
      </c>
      <c r="H12" s="5">
        <f t="shared" si="0"/>
        <v>2.1711340206185567E-3</v>
      </c>
      <c r="I12" s="2">
        <v>112</v>
      </c>
      <c r="J12" s="2"/>
      <c r="K12" s="2" t="s">
        <v>26</v>
      </c>
      <c r="L12" s="2"/>
      <c r="M12" s="2"/>
    </row>
    <row r="13" spans="1:13" x14ac:dyDescent="0.25">
      <c r="A13" s="24" t="s">
        <v>98</v>
      </c>
      <c r="B13" s="35">
        <v>0.5</v>
      </c>
      <c r="C13" s="25">
        <v>45113</v>
      </c>
      <c r="D13" s="24">
        <v>1.65</v>
      </c>
      <c r="E13" s="25">
        <v>45118</v>
      </c>
      <c r="F13" s="24">
        <v>1.93</v>
      </c>
      <c r="G13" s="26">
        <v>0.20710000000000001</v>
      </c>
      <c r="H13" s="5">
        <f t="shared" si="0"/>
        <v>2.1350515463917528E-3</v>
      </c>
      <c r="I13" s="24">
        <v>5</v>
      </c>
      <c r="J13" s="2"/>
      <c r="K13" s="2" t="s">
        <v>12</v>
      </c>
      <c r="M13" s="2"/>
    </row>
    <row r="14" spans="1:13" x14ac:dyDescent="0.25">
      <c r="A14" s="24" t="s">
        <v>94</v>
      </c>
      <c r="B14" s="35">
        <v>1</v>
      </c>
      <c r="C14" s="25">
        <v>44966</v>
      </c>
      <c r="D14" s="24">
        <v>27.46</v>
      </c>
      <c r="E14" s="25">
        <v>45120</v>
      </c>
      <c r="F14" s="24"/>
      <c r="G14" s="26">
        <v>0.1857</v>
      </c>
      <c r="H14" s="5">
        <f t="shared" si="0"/>
        <v>3.8288659793814434E-3</v>
      </c>
      <c r="I14" s="24">
        <v>154</v>
      </c>
      <c r="J14" s="2"/>
      <c r="K14" s="2" t="s">
        <v>26</v>
      </c>
      <c r="L14" s="2"/>
      <c r="M14" s="2"/>
    </row>
    <row r="15" spans="1:13" x14ac:dyDescent="0.25">
      <c r="A15" s="2" t="s">
        <v>104</v>
      </c>
      <c r="B15" s="34">
        <v>1</v>
      </c>
      <c r="C15" s="3">
        <v>44903</v>
      </c>
      <c r="D15" s="2">
        <v>31.21</v>
      </c>
      <c r="E15" s="3">
        <v>45127</v>
      </c>
      <c r="F15" s="2">
        <v>28.1</v>
      </c>
      <c r="G15" s="4">
        <v>-9.9599999999999994E-2</v>
      </c>
      <c r="H15" s="5">
        <f t="shared" si="0"/>
        <v>-2.0536082474226802E-3</v>
      </c>
      <c r="I15" s="2">
        <v>224</v>
      </c>
      <c r="J15" s="2"/>
      <c r="K15" s="2" t="s">
        <v>12</v>
      </c>
      <c r="L15" s="2"/>
      <c r="M15" s="2"/>
    </row>
    <row r="16" spans="1:13" x14ac:dyDescent="0.25">
      <c r="A16" s="2" t="s">
        <v>105</v>
      </c>
      <c r="B16" s="34">
        <v>1</v>
      </c>
      <c r="C16" s="3">
        <v>45057</v>
      </c>
      <c r="D16" s="2">
        <v>33.090000000000003</v>
      </c>
      <c r="E16" s="3">
        <v>45134</v>
      </c>
      <c r="F16" s="2">
        <v>35.5</v>
      </c>
      <c r="G16" s="4">
        <v>7.2800000000000004E-2</v>
      </c>
      <c r="H16" s="5">
        <f t="shared" si="0"/>
        <v>1.5010309278350516E-3</v>
      </c>
      <c r="I16" s="2">
        <v>77</v>
      </c>
    </row>
    <row r="17" spans="1:13" x14ac:dyDescent="0.25">
      <c r="A17" s="2" t="s">
        <v>106</v>
      </c>
      <c r="B17" s="34">
        <v>1</v>
      </c>
      <c r="C17" s="3">
        <v>45057</v>
      </c>
      <c r="D17" s="2">
        <v>30</v>
      </c>
      <c r="E17" s="3">
        <v>45134</v>
      </c>
      <c r="F17" s="2">
        <v>28.57</v>
      </c>
      <c r="G17" s="4">
        <v>-4.7699999999999999E-2</v>
      </c>
      <c r="H17" s="5">
        <f t="shared" si="0"/>
        <v>-9.8350515463917535E-4</v>
      </c>
      <c r="I17" s="2">
        <v>77</v>
      </c>
    </row>
    <row r="18" spans="1:13" x14ac:dyDescent="0.25">
      <c r="A18" s="2" t="s">
        <v>108</v>
      </c>
      <c r="B18" s="34">
        <v>1</v>
      </c>
      <c r="C18" s="3">
        <v>45047</v>
      </c>
      <c r="D18" s="2">
        <v>124.97</v>
      </c>
      <c r="E18" s="3">
        <v>45149</v>
      </c>
      <c r="F18" s="2">
        <v>129.94</v>
      </c>
      <c r="G18" s="4">
        <v>5.2200000000000003E-2</v>
      </c>
      <c r="H18" s="5">
        <f t="shared" si="0"/>
        <v>1.0762886597938145E-3</v>
      </c>
      <c r="I18" s="2">
        <v>105</v>
      </c>
      <c r="K18" t="s">
        <v>12</v>
      </c>
    </row>
    <row r="19" spans="1:13" x14ac:dyDescent="0.25">
      <c r="A19" s="2" t="s">
        <v>109</v>
      </c>
      <c r="B19" s="34">
        <v>1</v>
      </c>
      <c r="C19" s="3">
        <v>45026</v>
      </c>
      <c r="D19" s="2">
        <v>18.84</v>
      </c>
      <c r="E19" s="3">
        <v>45149</v>
      </c>
      <c r="F19" s="2">
        <v>16.690000000000001</v>
      </c>
      <c r="G19" s="4">
        <v>-0.1008</v>
      </c>
      <c r="H19" s="5">
        <f t="shared" si="0"/>
        <v>-2.0783505154639177E-3</v>
      </c>
      <c r="I19" s="2">
        <v>126</v>
      </c>
      <c r="K19" t="s">
        <v>12</v>
      </c>
      <c r="L19">
        <v>1.55</v>
      </c>
    </row>
    <row r="20" spans="1:13" x14ac:dyDescent="0.25">
      <c r="A20" s="2" t="s">
        <v>107</v>
      </c>
      <c r="B20" s="34">
        <v>1</v>
      </c>
      <c r="C20" s="3">
        <v>45141</v>
      </c>
      <c r="D20" s="2">
        <v>4.79</v>
      </c>
      <c r="E20" s="3">
        <v>45152</v>
      </c>
      <c r="F20" s="2">
        <v>3.33</v>
      </c>
      <c r="G20" s="4">
        <v>-0.30480000000000002</v>
      </c>
      <c r="H20" s="5">
        <f t="shared" si="0"/>
        <v>-6.2845360824742274E-3</v>
      </c>
      <c r="I20" s="2">
        <v>11</v>
      </c>
      <c r="K20" t="s">
        <v>16</v>
      </c>
      <c r="L20">
        <v>0.25</v>
      </c>
    </row>
    <row r="21" spans="1:13" x14ac:dyDescent="0.25">
      <c r="A21" s="24" t="s">
        <v>96</v>
      </c>
      <c r="B21" s="35">
        <v>1</v>
      </c>
      <c r="C21" s="28">
        <v>44938</v>
      </c>
      <c r="D21" s="24">
        <v>72.989999999999995</v>
      </c>
      <c r="E21" s="28">
        <v>45155</v>
      </c>
      <c r="F21" s="24">
        <v>93.41</v>
      </c>
      <c r="G21" s="29">
        <v>0.26490000000000002</v>
      </c>
      <c r="H21" s="5">
        <f t="shared" si="0"/>
        <v>5.4618556701030935E-3</v>
      </c>
      <c r="I21" s="27">
        <f>_xlfn.DAYS(E21,C21)</f>
        <v>217</v>
      </c>
      <c r="K21" t="s">
        <v>16</v>
      </c>
    </row>
    <row r="22" spans="1:13" x14ac:dyDescent="0.25">
      <c r="A22" s="2" t="s">
        <v>110</v>
      </c>
      <c r="B22" s="34">
        <v>2</v>
      </c>
      <c r="C22" s="8">
        <v>44791</v>
      </c>
      <c r="D22" s="2">
        <v>36.26</v>
      </c>
      <c r="E22" s="8">
        <v>45155</v>
      </c>
      <c r="F22" s="2">
        <v>27.2</v>
      </c>
      <c r="G22" s="4">
        <v>-0.22329999999999997</v>
      </c>
      <c r="H22" s="5">
        <f t="shared" si="0"/>
        <v>-9.2082474226804108E-3</v>
      </c>
      <c r="I22">
        <f>_xlfn.DAYS(E22,C22)</f>
        <v>364</v>
      </c>
      <c r="K22" t="s">
        <v>12</v>
      </c>
      <c r="L22">
        <v>0</v>
      </c>
    </row>
    <row r="23" spans="1:13" x14ac:dyDescent="0.25">
      <c r="A23" s="2" t="s">
        <v>111</v>
      </c>
      <c r="B23" s="34">
        <v>1</v>
      </c>
      <c r="C23" s="8">
        <v>44945</v>
      </c>
      <c r="D23" s="2">
        <v>31.55</v>
      </c>
      <c r="E23" s="8">
        <v>45162</v>
      </c>
      <c r="F23" s="2">
        <v>37.35</v>
      </c>
      <c r="G23" s="4">
        <v>0.21969999999999998</v>
      </c>
      <c r="H23" s="5">
        <f t="shared" si="0"/>
        <v>4.529896907216494E-3</v>
      </c>
      <c r="I23">
        <f>_xlfn.DAYS(E23,C23)</f>
        <v>217</v>
      </c>
      <c r="K23" t="s">
        <v>12</v>
      </c>
    </row>
    <row r="24" spans="1:13" x14ac:dyDescent="0.25">
      <c r="A24" s="2" t="s">
        <v>43</v>
      </c>
      <c r="B24" s="34">
        <v>1</v>
      </c>
      <c r="C24" s="8">
        <v>44959</v>
      </c>
      <c r="D24" s="2">
        <v>1.77</v>
      </c>
      <c r="E24" s="8">
        <v>45180</v>
      </c>
      <c r="F24" s="2">
        <v>0.89</v>
      </c>
      <c r="G24" s="4">
        <v>-0.49719999999999998</v>
      </c>
      <c r="H24" s="5">
        <f t="shared" si="0"/>
        <v>-1.0251546391752577E-2</v>
      </c>
      <c r="I24">
        <f>_xlfn.DAYS(E24,C24)</f>
        <v>221</v>
      </c>
      <c r="K24" t="s">
        <v>12</v>
      </c>
    </row>
    <row r="25" spans="1:13" x14ac:dyDescent="0.25">
      <c r="A25" t="s">
        <v>89</v>
      </c>
      <c r="B25">
        <v>1</v>
      </c>
      <c r="C25" s="8">
        <v>45022</v>
      </c>
      <c r="D25">
        <v>98.77</v>
      </c>
      <c r="E25" s="8">
        <v>45182</v>
      </c>
      <c r="F25">
        <v>74.08</v>
      </c>
      <c r="G25" s="7">
        <v>-0.23799999999999999</v>
      </c>
      <c r="H25" s="5">
        <f t="shared" si="0"/>
        <v>-4.9072164948453607E-3</v>
      </c>
      <c r="I25">
        <v>160</v>
      </c>
      <c r="K25" t="s">
        <v>26</v>
      </c>
    </row>
    <row r="26" spans="1:13" x14ac:dyDescent="0.25">
      <c r="A26" s="27" t="s">
        <v>95</v>
      </c>
      <c r="B26" s="27">
        <v>1</v>
      </c>
      <c r="C26" s="28">
        <v>44819</v>
      </c>
      <c r="D26" s="27">
        <v>147.88</v>
      </c>
      <c r="E26" s="28">
        <v>45187</v>
      </c>
      <c r="F26" s="27">
        <v>206.64</v>
      </c>
      <c r="G26" s="29">
        <v>0.34939999999999999</v>
      </c>
      <c r="H26" s="5">
        <f t="shared" si="0"/>
        <v>7.2041237113402061E-3</v>
      </c>
      <c r="I26" s="27">
        <v>368</v>
      </c>
      <c r="J26" s="27"/>
      <c r="K26" t="s">
        <v>12</v>
      </c>
      <c r="L26">
        <v>0</v>
      </c>
      <c r="M26" s="2"/>
    </row>
    <row r="27" spans="1:13" x14ac:dyDescent="0.25">
      <c r="A27" t="s">
        <v>118</v>
      </c>
      <c r="B27">
        <v>3</v>
      </c>
      <c r="C27" s="8">
        <v>44686</v>
      </c>
      <c r="D27">
        <v>17.72</v>
      </c>
      <c r="E27" s="8">
        <v>45195</v>
      </c>
      <c r="F27">
        <v>13.29</v>
      </c>
      <c r="G27" s="9">
        <v>-0.25</v>
      </c>
      <c r="H27" s="5">
        <f t="shared" si="0"/>
        <v>-1.5463917525773196E-2</v>
      </c>
      <c r="I27">
        <v>509</v>
      </c>
      <c r="K27" t="s">
        <v>26</v>
      </c>
    </row>
    <row r="28" spans="1:13" x14ac:dyDescent="0.25">
      <c r="A28" t="s">
        <v>114</v>
      </c>
      <c r="B28">
        <v>1</v>
      </c>
      <c r="C28" s="8">
        <v>45076</v>
      </c>
      <c r="D28">
        <v>200</v>
      </c>
      <c r="E28" s="8">
        <v>45202</v>
      </c>
      <c r="F28">
        <v>160</v>
      </c>
      <c r="G28" s="7">
        <v>-0.19600000000000001</v>
      </c>
      <c r="H28" s="5">
        <f t="shared" si="0"/>
        <v>-4.0412371134020617E-3</v>
      </c>
      <c r="I28">
        <v>126</v>
      </c>
      <c r="K28" t="s">
        <v>12</v>
      </c>
    </row>
    <row r="29" spans="1:13" x14ac:dyDescent="0.25">
      <c r="A29" t="s">
        <v>125</v>
      </c>
      <c r="B29">
        <v>1</v>
      </c>
      <c r="C29" s="8">
        <v>45071</v>
      </c>
      <c r="D29">
        <v>3.71</v>
      </c>
      <c r="E29" s="8">
        <v>45202</v>
      </c>
      <c r="F29">
        <v>2.78</v>
      </c>
      <c r="G29" s="7">
        <v>-0.2291</v>
      </c>
      <c r="H29" s="5">
        <f t="shared" si="0"/>
        <v>-4.7237113402061855E-3</v>
      </c>
      <c r="I29">
        <v>131</v>
      </c>
      <c r="K29" t="s">
        <v>12</v>
      </c>
      <c r="L29">
        <v>0</v>
      </c>
    </row>
    <row r="30" spans="1:13" x14ac:dyDescent="0.25">
      <c r="A30" t="s">
        <v>116</v>
      </c>
      <c r="B30">
        <v>1</v>
      </c>
      <c r="C30" s="8">
        <v>44952</v>
      </c>
      <c r="D30">
        <v>40.92</v>
      </c>
      <c r="E30" s="8">
        <v>45202</v>
      </c>
      <c r="F30">
        <v>30.69</v>
      </c>
      <c r="G30" s="9">
        <v>-0.25</v>
      </c>
      <c r="H30" s="5">
        <f t="shared" si="0"/>
        <v>-5.1546391752577319E-3</v>
      </c>
      <c r="I30">
        <v>250</v>
      </c>
      <c r="K30" t="s">
        <v>26</v>
      </c>
      <c r="L30">
        <v>0</v>
      </c>
    </row>
    <row r="31" spans="1:13" x14ac:dyDescent="0.25">
      <c r="A31" t="s">
        <v>119</v>
      </c>
      <c r="B31">
        <v>1</v>
      </c>
      <c r="C31" s="8">
        <v>44826</v>
      </c>
      <c r="D31">
        <v>37.21</v>
      </c>
      <c r="E31" s="8">
        <v>45212</v>
      </c>
      <c r="F31">
        <v>27.91</v>
      </c>
      <c r="G31" s="7">
        <v>-0.22270000000000001</v>
      </c>
      <c r="H31" s="5">
        <f t="shared" si="0"/>
        <v>-4.5917525773195881E-3</v>
      </c>
      <c r="I31">
        <v>386</v>
      </c>
      <c r="K31" t="s">
        <v>26</v>
      </c>
      <c r="L31">
        <v>0</v>
      </c>
    </row>
    <row r="32" spans="1:13" x14ac:dyDescent="0.25">
      <c r="A32" t="s">
        <v>120</v>
      </c>
      <c r="B32">
        <v>1</v>
      </c>
      <c r="C32" s="8">
        <v>45036</v>
      </c>
      <c r="D32">
        <v>108.96</v>
      </c>
      <c r="E32" s="8">
        <v>45212</v>
      </c>
      <c r="F32">
        <v>81.72</v>
      </c>
      <c r="G32" s="7">
        <v>-0.24490000000000001</v>
      </c>
      <c r="H32" s="5">
        <f t="shared" si="0"/>
        <v>-5.0494845360824743E-3</v>
      </c>
      <c r="I32">
        <v>176</v>
      </c>
      <c r="K32" t="s">
        <v>26</v>
      </c>
      <c r="L32">
        <v>1.02</v>
      </c>
    </row>
    <row r="33" spans="1:12" x14ac:dyDescent="0.25">
      <c r="A33" t="s">
        <v>123</v>
      </c>
      <c r="B33">
        <v>1</v>
      </c>
      <c r="C33" s="8">
        <v>44798</v>
      </c>
      <c r="D33">
        <v>90.5</v>
      </c>
      <c r="E33" s="8">
        <v>45218</v>
      </c>
      <c r="F33">
        <v>67.88</v>
      </c>
      <c r="G33" s="7">
        <v>-0.24990000000000001</v>
      </c>
      <c r="H33" s="5">
        <f t="shared" si="0"/>
        <v>-5.1525773195876291E-3</v>
      </c>
      <c r="I33">
        <v>420</v>
      </c>
      <c r="K33" t="s">
        <v>26</v>
      </c>
      <c r="L33">
        <v>1.18</v>
      </c>
    </row>
    <row r="34" spans="1:12" x14ac:dyDescent="0.25">
      <c r="A34" t="s">
        <v>124</v>
      </c>
      <c r="B34">
        <v>1</v>
      </c>
      <c r="C34" s="8">
        <v>45155</v>
      </c>
      <c r="D34">
        <v>51.61</v>
      </c>
      <c r="E34" s="8">
        <v>45222</v>
      </c>
      <c r="F34">
        <v>38.54</v>
      </c>
      <c r="G34" s="7">
        <v>-0.25319999999999998</v>
      </c>
      <c r="H34" s="5">
        <f t="shared" si="0"/>
        <v>-5.2206185567010305E-3</v>
      </c>
      <c r="I34">
        <v>67</v>
      </c>
      <c r="K34" t="s">
        <v>16</v>
      </c>
      <c r="L34">
        <v>0</v>
      </c>
    </row>
    <row r="35" spans="1:12" x14ac:dyDescent="0.25">
      <c r="A35" t="s">
        <v>115</v>
      </c>
      <c r="B35">
        <v>1</v>
      </c>
      <c r="C35" s="8">
        <v>45190</v>
      </c>
      <c r="D35">
        <v>12.99</v>
      </c>
      <c r="E35" s="8">
        <v>45225</v>
      </c>
      <c r="F35">
        <v>9.74</v>
      </c>
      <c r="G35" s="7">
        <v>-0.25019999999999998</v>
      </c>
      <c r="H35" s="5">
        <f t="shared" si="0"/>
        <v>-5.1587628865979373E-3</v>
      </c>
      <c r="I35">
        <v>35</v>
      </c>
      <c r="K35" t="s">
        <v>12</v>
      </c>
      <c r="L35">
        <v>0.8</v>
      </c>
    </row>
    <row r="36" spans="1:12" x14ac:dyDescent="0.25">
      <c r="A36" t="s">
        <v>121</v>
      </c>
      <c r="B36">
        <v>1</v>
      </c>
      <c r="C36" s="8">
        <v>44987</v>
      </c>
      <c r="D36">
        <v>40.06</v>
      </c>
      <c r="E36" s="8">
        <v>45226</v>
      </c>
      <c r="F36">
        <v>30.05</v>
      </c>
      <c r="G36" s="7">
        <v>-0.22939999999999999</v>
      </c>
      <c r="H36" s="5">
        <f t="shared" si="0"/>
        <v>-4.7298969072164946E-3</v>
      </c>
      <c r="I36">
        <v>239</v>
      </c>
      <c r="K36" t="s">
        <v>12</v>
      </c>
      <c r="L36">
        <v>0.56000000000000005</v>
      </c>
    </row>
    <row r="37" spans="1:12" x14ac:dyDescent="0.25">
      <c r="A37" t="s">
        <v>117</v>
      </c>
      <c r="B37">
        <v>1</v>
      </c>
      <c r="C37" s="8">
        <v>44714</v>
      </c>
      <c r="D37">
        <v>-2.95</v>
      </c>
      <c r="E37" s="8">
        <v>45259</v>
      </c>
      <c r="F37">
        <v>1.48</v>
      </c>
      <c r="G37" s="7">
        <v>-0.49830000000000002</v>
      </c>
      <c r="H37" s="5">
        <f t="shared" si="0"/>
        <v>-1.0274226804123711E-2</v>
      </c>
      <c r="I37">
        <v>0</v>
      </c>
      <c r="K37" t="s">
        <v>26</v>
      </c>
      <c r="L37">
        <v>0</v>
      </c>
    </row>
    <row r="38" spans="1:12" x14ac:dyDescent="0.25">
      <c r="A38" t="s">
        <v>122</v>
      </c>
      <c r="B38">
        <v>1</v>
      </c>
      <c r="C38" s="8">
        <v>44714</v>
      </c>
      <c r="D38">
        <v>5.2</v>
      </c>
      <c r="E38" s="8">
        <v>45259</v>
      </c>
      <c r="F38">
        <v>0.01</v>
      </c>
      <c r="G38" s="7">
        <v>-0.99809999999999999</v>
      </c>
      <c r="H38" s="5">
        <f t="shared" si="0"/>
        <v>-2.0579381443298968E-2</v>
      </c>
      <c r="I38">
        <v>545</v>
      </c>
      <c r="K38" t="s">
        <v>26</v>
      </c>
      <c r="L38">
        <v>0.82</v>
      </c>
    </row>
    <row r="39" spans="1:12" x14ac:dyDescent="0.25">
      <c r="A39" t="s">
        <v>114</v>
      </c>
      <c r="B39">
        <v>1</v>
      </c>
      <c r="C39" s="8">
        <v>45204</v>
      </c>
      <c r="D39">
        <v>157.21</v>
      </c>
      <c r="E39" s="8">
        <v>45267</v>
      </c>
      <c r="F39">
        <v>121.21</v>
      </c>
      <c r="G39" s="7">
        <v>-0.22900000000000001</v>
      </c>
      <c r="H39" s="5">
        <f t="shared" si="0"/>
        <v>-4.7216494845360828E-3</v>
      </c>
      <c r="I39">
        <v>63</v>
      </c>
      <c r="K39" t="s">
        <v>12</v>
      </c>
      <c r="L39">
        <v>0</v>
      </c>
    </row>
    <row r="40" spans="1:12" x14ac:dyDescent="0.25">
      <c r="A40" t="s">
        <v>142</v>
      </c>
      <c r="B40">
        <v>1</v>
      </c>
      <c r="C40" s="8">
        <v>44651</v>
      </c>
      <c r="D40">
        <v>1.1399999999999999</v>
      </c>
      <c r="E40" s="8">
        <v>45267</v>
      </c>
      <c r="F40">
        <v>3.61</v>
      </c>
      <c r="G40" s="7">
        <v>2.1667000000000001</v>
      </c>
      <c r="H40" s="5">
        <f t="shared" si="0"/>
        <v>4.4674226804123709E-2</v>
      </c>
      <c r="I40">
        <v>616</v>
      </c>
      <c r="K40" t="s">
        <v>12</v>
      </c>
      <c r="L40">
        <v>0</v>
      </c>
    </row>
    <row r="41" spans="1:12" x14ac:dyDescent="0.25">
      <c r="A41" t="s">
        <v>143</v>
      </c>
      <c r="B41">
        <v>1</v>
      </c>
      <c r="C41" s="8">
        <v>44861</v>
      </c>
      <c r="D41">
        <v>36.5</v>
      </c>
      <c r="E41" s="8">
        <v>45267</v>
      </c>
      <c r="F41">
        <v>38.590000000000003</v>
      </c>
      <c r="G41" s="7">
        <v>0.12909999999999999</v>
      </c>
      <c r="H41" s="5">
        <f t="shared" si="0"/>
        <v>2.6618556701030927E-3</v>
      </c>
      <c r="I41">
        <v>406</v>
      </c>
      <c r="K41" t="s">
        <v>12</v>
      </c>
      <c r="L41">
        <v>2.62</v>
      </c>
    </row>
    <row r="42" spans="1:12" x14ac:dyDescent="0.25">
      <c r="A42" t="s">
        <v>137</v>
      </c>
      <c r="B42">
        <v>1</v>
      </c>
      <c r="C42" s="8">
        <v>45260</v>
      </c>
      <c r="D42">
        <v>15.62</v>
      </c>
      <c r="E42" s="8">
        <v>45281</v>
      </c>
      <c r="F42">
        <v>18.41</v>
      </c>
      <c r="G42" s="7">
        <v>0.17860000000000001</v>
      </c>
      <c r="H42" s="5">
        <f t="shared" si="0"/>
        <v>3.6824742268041239E-3</v>
      </c>
      <c r="I42">
        <v>21</v>
      </c>
      <c r="K42" t="s">
        <v>16</v>
      </c>
      <c r="L42">
        <v>0</v>
      </c>
    </row>
    <row r="43" spans="1:12" x14ac:dyDescent="0.25">
      <c r="A43" t="s">
        <v>138</v>
      </c>
      <c r="B43">
        <v>1</v>
      </c>
      <c r="C43" s="8">
        <v>45001</v>
      </c>
      <c r="D43">
        <v>52.94</v>
      </c>
      <c r="E43" s="8">
        <v>45281</v>
      </c>
      <c r="F43">
        <v>48.29</v>
      </c>
      <c r="G43" s="7">
        <v>-8.0299999999999996E-2</v>
      </c>
      <c r="H43" s="5">
        <f t="shared" si="0"/>
        <v>-1.6556701030927834E-3</v>
      </c>
      <c r="I43">
        <v>280</v>
      </c>
      <c r="K43" t="s">
        <v>26</v>
      </c>
      <c r="L43">
        <v>0.4</v>
      </c>
    </row>
    <row r="44" spans="1:12" x14ac:dyDescent="0.25">
      <c r="A44" t="s">
        <v>14</v>
      </c>
      <c r="B44">
        <v>1</v>
      </c>
      <c r="C44" s="8">
        <v>45169</v>
      </c>
      <c r="D44">
        <v>84.46</v>
      </c>
      <c r="E44" s="8">
        <v>45281</v>
      </c>
      <c r="F44">
        <v>91.45</v>
      </c>
      <c r="G44" s="7">
        <v>8.2799999999999999E-2</v>
      </c>
      <c r="H44" s="5">
        <f t="shared" si="0"/>
        <v>1.7072164948453608E-3</v>
      </c>
      <c r="I44">
        <v>112</v>
      </c>
      <c r="K44" t="s">
        <v>16</v>
      </c>
      <c r="L44">
        <v>0</v>
      </c>
    </row>
    <row r="45" spans="1:12" x14ac:dyDescent="0.25">
      <c r="A45" t="s">
        <v>139</v>
      </c>
      <c r="B45">
        <v>1</v>
      </c>
      <c r="C45" s="8">
        <v>45211</v>
      </c>
      <c r="D45">
        <v>199.04</v>
      </c>
      <c r="E45" s="8">
        <v>45281</v>
      </c>
      <c r="F45">
        <v>218.55</v>
      </c>
      <c r="G45" s="7">
        <v>0.10059999999999999</v>
      </c>
      <c r="H45" s="5">
        <f t="shared" si="0"/>
        <v>2.0742268041237114E-3</v>
      </c>
      <c r="I45">
        <v>70</v>
      </c>
      <c r="K45" t="s">
        <v>16</v>
      </c>
      <c r="L45">
        <v>0.52</v>
      </c>
    </row>
    <row r="46" spans="1:12" x14ac:dyDescent="0.25">
      <c r="A46" t="s">
        <v>140</v>
      </c>
      <c r="B46">
        <v>1</v>
      </c>
      <c r="C46" s="8">
        <v>44980</v>
      </c>
      <c r="D46">
        <v>267.7</v>
      </c>
      <c r="E46" s="8">
        <v>45281</v>
      </c>
      <c r="F46">
        <v>290.72000000000003</v>
      </c>
      <c r="G46" s="7">
        <v>0.10929999999999999</v>
      </c>
      <c r="H46" s="5">
        <f t="shared" si="0"/>
        <v>2.2536082474226803E-3</v>
      </c>
      <c r="I46">
        <v>301</v>
      </c>
      <c r="K46" t="s">
        <v>26</v>
      </c>
      <c r="L46">
        <v>6.23</v>
      </c>
    </row>
    <row r="47" spans="1:12" x14ac:dyDescent="0.25">
      <c r="A47" t="s">
        <v>141</v>
      </c>
      <c r="B47">
        <v>1</v>
      </c>
      <c r="C47" s="8">
        <v>45225</v>
      </c>
      <c r="D47">
        <v>102.15</v>
      </c>
      <c r="E47" s="8">
        <v>45281</v>
      </c>
      <c r="F47">
        <v>122.42</v>
      </c>
      <c r="G47" s="7">
        <v>0.2021</v>
      </c>
      <c r="H47" s="5">
        <f t="shared" si="0"/>
        <v>4.1670103092783508E-3</v>
      </c>
      <c r="I47">
        <v>56</v>
      </c>
      <c r="K47" t="s">
        <v>16</v>
      </c>
      <c r="L47">
        <v>0.37</v>
      </c>
    </row>
  </sheetData>
  <autoFilter ref="A1:M20" xr:uid="{904E0A1B-ABA7-45B7-B8EC-7E65A12865D9}">
    <sortState xmlns:xlrd2="http://schemas.microsoft.com/office/spreadsheetml/2017/richdata2" ref="A2:M48">
      <sortCondition ref="E1:E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8165-35F9-4D2B-BEEB-6022182B7A84}">
  <dimension ref="A1:M18"/>
  <sheetViews>
    <sheetView workbookViewId="0">
      <selection activeCell="E12" sqref="E12:E18"/>
    </sheetView>
  </sheetViews>
  <sheetFormatPr defaultRowHeight="15" x14ac:dyDescent="0.25"/>
  <cols>
    <col min="1" max="1" width="10.85546875" bestFit="1" customWidth="1"/>
    <col min="2" max="2" width="10.7109375" bestFit="1" customWidth="1"/>
    <col min="3" max="4" width="13.140625" bestFit="1" customWidth="1"/>
    <col min="5" max="6" width="12.140625" bestFit="1" customWidth="1"/>
    <col min="7" max="7" width="10.5703125" bestFit="1" customWidth="1"/>
    <col min="8" max="8" width="12.140625" bestFit="1" customWidth="1"/>
    <col min="9" max="9" width="12.85546875" bestFit="1" customWidth="1"/>
    <col min="11" max="11" width="14.85546875" bestFit="1" customWidth="1"/>
    <col min="12" max="12" width="12.5703125" bestFit="1" customWidth="1"/>
    <col min="13" max="13" width="9.7109375" bestFit="1" customWidth="1"/>
  </cols>
  <sheetData>
    <row r="1" spans="1:13" ht="24.75" x14ac:dyDescent="0.25">
      <c r="A1" s="1" t="s">
        <v>0</v>
      </c>
      <c r="B1" s="3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151</v>
      </c>
      <c r="I1" s="1" t="s">
        <v>7</v>
      </c>
      <c r="J1" s="1"/>
      <c r="K1" s="1" t="s">
        <v>8</v>
      </c>
      <c r="L1" s="1" t="s">
        <v>9</v>
      </c>
      <c r="M1" s="1" t="s">
        <v>10</v>
      </c>
    </row>
    <row r="2" spans="1:13" x14ac:dyDescent="0.25">
      <c r="A2" t="s">
        <v>144</v>
      </c>
      <c r="B2">
        <v>1</v>
      </c>
      <c r="C2" s="8">
        <v>44827</v>
      </c>
      <c r="D2">
        <v>11</v>
      </c>
      <c r="E2" s="8">
        <v>45309</v>
      </c>
      <c r="F2">
        <v>13.57</v>
      </c>
      <c r="G2" s="7">
        <v>0.3417</v>
      </c>
      <c r="H2" s="5">
        <f t="shared" ref="H2:H18" si="0">G2*B2/SUM(B:B)</f>
        <v>1.8951747088186355E-2</v>
      </c>
      <c r="I2">
        <f>_xlfn.DAYS(E2,C2)</f>
        <v>482</v>
      </c>
      <c r="K2" t="s">
        <v>12</v>
      </c>
    </row>
    <row r="3" spans="1:13" x14ac:dyDescent="0.25">
      <c r="A3" t="s">
        <v>150</v>
      </c>
      <c r="B3">
        <v>1</v>
      </c>
      <c r="C3" s="8">
        <v>45302</v>
      </c>
      <c r="D3">
        <v>68.599999999999994</v>
      </c>
      <c r="E3" s="8">
        <v>45366</v>
      </c>
      <c r="F3">
        <v>85.64</v>
      </c>
      <c r="G3" s="7">
        <v>0.24829999999999999</v>
      </c>
      <c r="H3" s="5">
        <f t="shared" si="0"/>
        <v>1.377149195784803E-2</v>
      </c>
      <c r="I3">
        <f>_xlfn.DAYS(E3,C3)</f>
        <v>64</v>
      </c>
      <c r="K3" t="s">
        <v>16</v>
      </c>
    </row>
    <row r="4" spans="1:13" x14ac:dyDescent="0.25">
      <c r="A4" t="s">
        <v>146</v>
      </c>
      <c r="B4">
        <v>1</v>
      </c>
      <c r="C4" s="8">
        <v>45239</v>
      </c>
      <c r="D4">
        <v>42.27</v>
      </c>
      <c r="E4" s="8">
        <v>45309</v>
      </c>
      <c r="F4">
        <v>51.5</v>
      </c>
      <c r="G4" s="7">
        <v>0.21840000000000001</v>
      </c>
      <c r="H4" s="5">
        <f t="shared" si="0"/>
        <v>1.211314475873544E-2</v>
      </c>
      <c r="I4">
        <f>_xlfn.DAYS(E4,C4)</f>
        <v>70</v>
      </c>
      <c r="K4" t="s">
        <v>16</v>
      </c>
    </row>
    <row r="5" spans="1:13" x14ac:dyDescent="0.25">
      <c r="A5" t="s">
        <v>144</v>
      </c>
      <c r="B5">
        <v>1</v>
      </c>
      <c r="C5" s="8">
        <v>45026</v>
      </c>
      <c r="D5">
        <v>12.5</v>
      </c>
      <c r="E5" s="8">
        <v>45309</v>
      </c>
      <c r="F5">
        <v>13.8</v>
      </c>
      <c r="G5" s="7">
        <v>0.1784</v>
      </c>
      <c r="H5" s="5">
        <f t="shared" si="0"/>
        <v>9.8946200776483632E-3</v>
      </c>
      <c r="I5">
        <f>_xlfn.DAYS(E5,C5)</f>
        <v>283</v>
      </c>
      <c r="K5" t="s">
        <v>12</v>
      </c>
      <c r="L5">
        <v>0.93</v>
      </c>
    </row>
    <row r="6" spans="1:13" x14ac:dyDescent="0.25">
      <c r="A6" t="s">
        <v>145</v>
      </c>
      <c r="B6">
        <v>2</v>
      </c>
      <c r="C6" s="8">
        <v>44343</v>
      </c>
      <c r="D6">
        <v>34.81</v>
      </c>
      <c r="E6" s="8">
        <v>45302</v>
      </c>
      <c r="F6">
        <v>37.76</v>
      </c>
      <c r="G6" s="7">
        <v>0.13719999999999999</v>
      </c>
      <c r="H6" s="5">
        <f t="shared" si="0"/>
        <v>1.5219079312257347E-2</v>
      </c>
      <c r="I6">
        <v>959</v>
      </c>
      <c r="K6" t="s">
        <v>16</v>
      </c>
      <c r="L6">
        <v>3.65</v>
      </c>
    </row>
    <row r="7" spans="1:13" x14ac:dyDescent="0.25">
      <c r="A7" t="s">
        <v>147</v>
      </c>
      <c r="B7">
        <v>1</v>
      </c>
      <c r="C7" s="8">
        <v>45064</v>
      </c>
      <c r="D7">
        <v>284</v>
      </c>
      <c r="E7" s="8">
        <v>45316</v>
      </c>
      <c r="F7">
        <v>309.07</v>
      </c>
      <c r="G7" s="7">
        <v>9.64E-2</v>
      </c>
      <c r="H7" s="5">
        <f t="shared" si="0"/>
        <v>5.3466444814198556E-3</v>
      </c>
      <c r="I7">
        <f>_xlfn.DAYS(E7,C7)</f>
        <v>252</v>
      </c>
      <c r="K7" t="s">
        <v>26</v>
      </c>
      <c r="L7">
        <v>2.2999999999999998</v>
      </c>
    </row>
    <row r="8" spans="1:13" x14ac:dyDescent="0.25">
      <c r="A8" t="s">
        <v>148</v>
      </c>
      <c r="B8">
        <v>1</v>
      </c>
      <c r="C8" s="8">
        <v>45197</v>
      </c>
      <c r="D8">
        <v>88.58</v>
      </c>
      <c r="E8" s="8">
        <v>45316</v>
      </c>
      <c r="F8">
        <v>95.36</v>
      </c>
      <c r="G8" s="7">
        <v>8.0299999999999996E-2</v>
      </c>
      <c r="H8" s="5">
        <f t="shared" si="0"/>
        <v>4.4536882972823072E-3</v>
      </c>
      <c r="I8">
        <f>_xlfn.DAYS(E8,C8)</f>
        <v>119</v>
      </c>
      <c r="K8" t="s">
        <v>16</v>
      </c>
      <c r="L8">
        <v>0.33</v>
      </c>
    </row>
    <row r="9" spans="1:13" x14ac:dyDescent="0.25">
      <c r="A9" t="s">
        <v>143</v>
      </c>
      <c r="B9">
        <v>1</v>
      </c>
      <c r="C9" s="8">
        <v>45026</v>
      </c>
      <c r="D9">
        <v>39.21</v>
      </c>
      <c r="E9" s="8">
        <v>45309</v>
      </c>
      <c r="F9">
        <v>38.53</v>
      </c>
      <c r="G9" s="7">
        <v>3.32E-2</v>
      </c>
      <c r="H9" s="5">
        <f t="shared" si="0"/>
        <v>1.841375485302274E-3</v>
      </c>
      <c r="I9">
        <f>_xlfn.DAYS(E9,C9)</f>
        <v>283</v>
      </c>
      <c r="K9" t="s">
        <v>12</v>
      </c>
      <c r="L9">
        <v>1.98</v>
      </c>
    </row>
    <row r="10" spans="1:13" x14ac:dyDescent="0.25">
      <c r="A10" t="s">
        <v>149</v>
      </c>
      <c r="B10">
        <v>1</v>
      </c>
      <c r="C10" s="8">
        <v>45274</v>
      </c>
      <c r="D10">
        <v>82.37</v>
      </c>
      <c r="E10" s="8">
        <v>45323</v>
      </c>
      <c r="F10">
        <v>83.91</v>
      </c>
      <c r="G10" s="7">
        <v>2.8400000000000002E-2</v>
      </c>
      <c r="H10" s="5">
        <f t="shared" si="0"/>
        <v>1.5751525235718248E-3</v>
      </c>
      <c r="I10">
        <f>_xlfn.DAYS(E10,C10)</f>
        <v>49</v>
      </c>
      <c r="K10" t="s">
        <v>12</v>
      </c>
      <c r="L10">
        <v>0.8</v>
      </c>
    </row>
    <row r="11" spans="1:13" x14ac:dyDescent="0.25">
      <c r="A11" t="s">
        <v>152</v>
      </c>
      <c r="B11">
        <v>1</v>
      </c>
      <c r="C11" s="8">
        <v>45357</v>
      </c>
      <c r="D11">
        <v>5.17</v>
      </c>
      <c r="E11" s="8">
        <v>45365</v>
      </c>
      <c r="F11">
        <v>7.3674999999999997</v>
      </c>
      <c r="G11" s="7">
        <v>0.42499999999999999</v>
      </c>
      <c r="H11" s="5">
        <f t="shared" si="0"/>
        <v>2.3571824736550191E-2</v>
      </c>
      <c r="I11">
        <f t="shared" ref="I11:I18" si="1">_xlfn.DAYS(E11,C11)</f>
        <v>8</v>
      </c>
      <c r="K11" t="s">
        <v>16</v>
      </c>
    </row>
    <row r="12" spans="1:13" x14ac:dyDescent="0.25">
      <c r="A12" t="s">
        <v>153</v>
      </c>
      <c r="B12">
        <v>1</v>
      </c>
      <c r="C12" s="8">
        <v>45309</v>
      </c>
      <c r="D12">
        <v>24.49</v>
      </c>
      <c r="E12" s="8">
        <v>45379</v>
      </c>
      <c r="F12">
        <v>24.86</v>
      </c>
      <c r="G12" s="7">
        <v>1.5100000000000001E-2</v>
      </c>
      <c r="H12" s="5">
        <f t="shared" si="0"/>
        <v>8.3749306711037154E-4</v>
      </c>
      <c r="I12">
        <f t="shared" si="1"/>
        <v>70</v>
      </c>
      <c r="K12" t="s">
        <v>12</v>
      </c>
      <c r="L12">
        <v>0</v>
      </c>
    </row>
    <row r="13" spans="1:13" x14ac:dyDescent="0.25">
      <c r="A13" t="s">
        <v>154</v>
      </c>
      <c r="B13">
        <v>0.03</v>
      </c>
      <c r="C13" s="8">
        <v>45127</v>
      </c>
      <c r="D13">
        <v>39.630000000000003</v>
      </c>
      <c r="E13" s="8">
        <v>45379</v>
      </c>
      <c r="F13">
        <v>38.799999999999997</v>
      </c>
      <c r="G13" s="7">
        <v>-2.0899999999999998E-2</v>
      </c>
      <c r="H13" s="5">
        <f t="shared" si="0"/>
        <v>-3.4775374376039926E-5</v>
      </c>
      <c r="I13">
        <f t="shared" si="1"/>
        <v>252</v>
      </c>
      <c r="L13">
        <v>0</v>
      </c>
    </row>
    <row r="14" spans="1:13" x14ac:dyDescent="0.25">
      <c r="A14" t="s">
        <v>155</v>
      </c>
      <c r="B14">
        <v>2</v>
      </c>
      <c r="C14" s="8">
        <v>45092</v>
      </c>
      <c r="D14">
        <v>65.11</v>
      </c>
      <c r="E14" s="8">
        <v>45379</v>
      </c>
      <c r="F14">
        <v>59.59</v>
      </c>
      <c r="G14" s="7">
        <v>-8.48E-2</v>
      </c>
      <c r="H14" s="5">
        <f t="shared" si="0"/>
        <v>-9.4065446478092066E-3</v>
      </c>
      <c r="I14">
        <f t="shared" si="1"/>
        <v>287</v>
      </c>
      <c r="K14" t="s">
        <v>16</v>
      </c>
      <c r="L14">
        <v>0</v>
      </c>
    </row>
    <row r="15" spans="1:13" x14ac:dyDescent="0.25">
      <c r="A15" t="s">
        <v>156</v>
      </c>
      <c r="B15">
        <v>1</v>
      </c>
      <c r="C15" s="8">
        <v>45141</v>
      </c>
      <c r="D15">
        <v>21.25</v>
      </c>
      <c r="E15" s="8">
        <v>45379</v>
      </c>
      <c r="F15">
        <v>19.78</v>
      </c>
      <c r="G15" s="7">
        <v>-6.9199999999999998E-2</v>
      </c>
      <c r="H15" s="5">
        <f t="shared" si="0"/>
        <v>-3.8380476982806432E-3</v>
      </c>
      <c r="I15">
        <f t="shared" si="1"/>
        <v>238</v>
      </c>
      <c r="K15" t="s">
        <v>16</v>
      </c>
      <c r="L15">
        <v>0</v>
      </c>
    </row>
    <row r="16" spans="1:13" x14ac:dyDescent="0.25">
      <c r="A16" t="s">
        <v>157</v>
      </c>
      <c r="B16">
        <v>1</v>
      </c>
      <c r="C16" s="8">
        <v>45162</v>
      </c>
      <c r="D16">
        <v>67.89</v>
      </c>
      <c r="E16" s="8">
        <v>45379</v>
      </c>
      <c r="F16">
        <v>63.97</v>
      </c>
      <c r="G16" s="7">
        <v>-3.6400000000000002E-2</v>
      </c>
      <c r="H16" s="5">
        <f t="shared" si="0"/>
        <v>-2.0188574597892403E-3</v>
      </c>
      <c r="I16">
        <f t="shared" si="1"/>
        <v>217</v>
      </c>
      <c r="K16" t="s">
        <v>12</v>
      </c>
      <c r="L16">
        <v>1.45</v>
      </c>
    </row>
    <row r="17" spans="1:12" x14ac:dyDescent="0.25">
      <c r="A17" t="s">
        <v>158</v>
      </c>
      <c r="B17">
        <v>1</v>
      </c>
      <c r="C17" s="8">
        <v>45078</v>
      </c>
      <c r="D17">
        <v>179.98</v>
      </c>
      <c r="E17" s="8">
        <v>45379</v>
      </c>
      <c r="F17">
        <v>174.58</v>
      </c>
      <c r="G17" s="7">
        <v>-8.8999999999999999E-3</v>
      </c>
      <c r="H17" s="5">
        <f t="shared" si="0"/>
        <v>-4.9362174154187464E-4</v>
      </c>
      <c r="I17">
        <f t="shared" si="1"/>
        <v>301</v>
      </c>
      <c r="K17" t="s">
        <v>26</v>
      </c>
      <c r="L17">
        <v>3.8</v>
      </c>
    </row>
    <row r="18" spans="1:12" x14ac:dyDescent="0.25">
      <c r="A18" t="s">
        <v>159</v>
      </c>
      <c r="B18">
        <v>1</v>
      </c>
      <c r="C18" s="8">
        <v>44924</v>
      </c>
      <c r="D18">
        <v>11.21</v>
      </c>
      <c r="E18" s="8">
        <v>45379</v>
      </c>
      <c r="F18">
        <v>11.99</v>
      </c>
      <c r="G18" s="7">
        <v>0.15049999999999999</v>
      </c>
      <c r="H18" s="5">
        <f t="shared" si="0"/>
        <v>8.347199112590126E-3</v>
      </c>
      <c r="I18">
        <f t="shared" si="1"/>
        <v>455</v>
      </c>
      <c r="K18" t="s">
        <v>12</v>
      </c>
      <c r="L18">
        <v>0.91</v>
      </c>
    </row>
  </sheetData>
  <autoFilter ref="A1:M10" xr:uid="{EE7B8165-35F9-4D2B-BEEB-6022182B7A84}">
    <sortState xmlns:xlrd2="http://schemas.microsoft.com/office/spreadsheetml/2017/richdata2" ref="A2:M10">
      <sortCondition descending="1" ref="G1:G10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CFE4-7632-47F1-B1D0-1C3D536A8724}">
  <dimension ref="A1:I17"/>
  <sheetViews>
    <sheetView workbookViewId="0">
      <selection activeCell="F36" sqref="F36"/>
    </sheetView>
  </sheetViews>
  <sheetFormatPr defaultRowHeight="15" x14ac:dyDescent="0.25"/>
  <cols>
    <col min="1" max="1" width="13.7109375" bestFit="1" customWidth="1"/>
    <col min="3" max="3" width="9.7109375" bestFit="1" customWidth="1"/>
    <col min="5" max="5" width="9.7109375" bestFit="1" customWidth="1"/>
  </cols>
  <sheetData>
    <row r="1" spans="1:9" x14ac:dyDescent="0.25">
      <c r="A1" s="2" t="s">
        <v>96</v>
      </c>
      <c r="B1" s="2">
        <v>0.5</v>
      </c>
      <c r="C1" s="3">
        <v>44938</v>
      </c>
      <c r="D1" s="2">
        <v>72.989999999999995</v>
      </c>
      <c r="E1" s="3">
        <v>45119</v>
      </c>
      <c r="F1" s="2">
        <v>91.23</v>
      </c>
      <c r="G1" s="2">
        <v>62.04</v>
      </c>
      <c r="H1" s="4">
        <v>0.24990000000000001</v>
      </c>
      <c r="I1" s="5">
        <f t="shared" ref="I1:I2" si="0">H1*B1/SUM(B:B)</f>
        <v>6.2475000000000003E-2</v>
      </c>
    </row>
    <row r="2" spans="1:9" x14ac:dyDescent="0.25">
      <c r="A2" s="2" t="s">
        <v>96</v>
      </c>
      <c r="B2" s="2">
        <v>0.5</v>
      </c>
      <c r="C2" s="8">
        <v>44938</v>
      </c>
      <c r="D2" s="2">
        <v>72.989999999999995</v>
      </c>
      <c r="E2" s="8">
        <v>45155</v>
      </c>
      <c r="G2" s="2">
        <v>93.41</v>
      </c>
      <c r="H2" s="7">
        <v>0.27979999999999999</v>
      </c>
      <c r="I2" s="5">
        <f t="shared" si="0"/>
        <v>6.9949999999999998E-2</v>
      </c>
    </row>
    <row r="3" spans="1:9" x14ac:dyDescent="0.25">
      <c r="A3" s="2" t="s">
        <v>96</v>
      </c>
      <c r="B3">
        <v>1</v>
      </c>
      <c r="C3" s="3">
        <v>44938</v>
      </c>
      <c r="D3" s="2">
        <v>72.989999999999995</v>
      </c>
      <c r="E3" s="8">
        <v>45155</v>
      </c>
      <c r="H3" s="7">
        <f>AVERAGE(H1:H2)</f>
        <v>0.26485000000000003</v>
      </c>
    </row>
    <row r="13" spans="1:9" x14ac:dyDescent="0.25">
      <c r="A13" t="s">
        <v>132</v>
      </c>
    </row>
    <row r="14" spans="1:9" x14ac:dyDescent="0.25">
      <c r="A14" t="s">
        <v>133</v>
      </c>
    </row>
    <row r="15" spans="1:9" x14ac:dyDescent="0.25">
      <c r="A15" t="s">
        <v>134</v>
      </c>
    </row>
    <row r="16" spans="1:9" x14ac:dyDescent="0.25">
      <c r="A16" t="s">
        <v>135</v>
      </c>
    </row>
    <row r="17" spans="1:1" x14ac:dyDescent="0.25">
      <c r="A17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a49954-b8e2-4500-89b6-59470f4a11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4858DF6778A4F8E56B806987E7437" ma:contentTypeVersion="17" ma:contentTypeDescription="Create a new document." ma:contentTypeScope="" ma:versionID="87fa9d27c401545ac4d503bb8e9e3131">
  <xsd:schema xmlns:xsd="http://www.w3.org/2001/XMLSchema" xmlns:xs="http://www.w3.org/2001/XMLSchema" xmlns:p="http://schemas.microsoft.com/office/2006/metadata/properties" xmlns:ns3="c1a49954-b8e2-4500-89b6-59470f4a1179" xmlns:ns4="661eeb5a-cd17-4069-9625-d1167c22a472" targetNamespace="http://schemas.microsoft.com/office/2006/metadata/properties" ma:root="true" ma:fieldsID="4ac23f406eb1919a540acf18f4110628" ns3:_="" ns4:_="">
    <xsd:import namespace="c1a49954-b8e2-4500-89b6-59470f4a1179"/>
    <xsd:import namespace="661eeb5a-cd17-4069-9625-d1167c22a4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49954-b8e2-4500-89b6-59470f4a11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eeb5a-cd17-4069-9625-d1167c22a47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CB854F-B147-48CA-8E8B-8DAF7657DCAB}">
  <ds:schemaRefs>
    <ds:schemaRef ds:uri="http://purl.org/dc/terms/"/>
    <ds:schemaRef ds:uri="http://schemas.microsoft.com/office/infopath/2007/PartnerControls"/>
    <ds:schemaRef ds:uri="c1a49954-b8e2-4500-89b6-59470f4a1179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661eeb5a-cd17-4069-9625-d1167c22a472"/>
  </ds:schemaRefs>
</ds:datastoreItem>
</file>

<file path=customXml/itemProps2.xml><?xml version="1.0" encoding="utf-8"?>
<ds:datastoreItem xmlns:ds="http://schemas.openxmlformats.org/officeDocument/2006/customXml" ds:itemID="{ACAB2695-383D-4660-B6E6-DB0207A7C6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19C02-D9B6-4FFF-A983-168306D4F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a49954-b8e2-4500-89b6-59470f4a1179"/>
    <ds:schemaRef ds:uri="661eeb5a-cd17-4069-9625-d1167c22a4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stats</vt:lpstr>
      <vt:lpstr>closed since inception</vt:lpstr>
      <vt:lpstr>closed 2023</vt:lpstr>
      <vt:lpstr>YTD</vt:lpstr>
      <vt:lpstr>trade 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Jonathan Mead</cp:lastModifiedBy>
  <dcterms:created xsi:type="dcterms:W3CDTF">2023-07-13T20:16:09Z</dcterms:created>
  <dcterms:modified xsi:type="dcterms:W3CDTF">2024-04-01T13:24:52Z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0x0101008CE4858DF6778A4F8E56B806987E7437</vt:lpwstr>
  </property>
</Properties>
</file>